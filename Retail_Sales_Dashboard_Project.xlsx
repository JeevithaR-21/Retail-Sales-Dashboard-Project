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E4CD8065F4A76D/Documents/"/>
    </mc:Choice>
  </mc:AlternateContent>
  <xr:revisionPtr revIDLastSave="770" documentId="8_{AC6C6818-4383-4537-A9D3-EA8D5F71078C}" xr6:coauthVersionLast="47" xr6:coauthVersionMax="47" xr10:uidLastSave="{C8ABAA1B-0D0A-47CE-8C4B-43AD074A57E2}"/>
  <bookViews>
    <workbookView xWindow="-108" yWindow="-108" windowWidth="23256" windowHeight="12456" firstSheet="7" activeTab="6" xr2:uid="{75F787B9-EA7C-4100-84BC-DE4629F5B6C9}"/>
  </bookViews>
  <sheets>
    <sheet name="Sales_Data" sheetId="1" r:id="rId1"/>
    <sheet name="Lookup" sheetId="2" r:id="rId2"/>
    <sheet name="Pivot_Quantity_Product" sheetId="15" r:id="rId3"/>
    <sheet name="Pivot_Sales_Salesperson" sheetId="16" r:id="rId4"/>
    <sheet name="Pivot_profit_state" sheetId="17" r:id="rId5"/>
    <sheet name="Pivot_Sales_Category" sheetId="18" r:id="rId6"/>
    <sheet name=" Product Quantity " sheetId="8" r:id="rId7"/>
    <sheet name="Sales by Salesperson" sheetId="11" r:id="rId8"/>
    <sheet name="Profit by State" sheetId="12" r:id="rId9"/>
    <sheet name="Sales by Category" sheetId="13" r:id="rId10"/>
    <sheet name="Dashboard" sheetId="4" r:id="rId11"/>
  </sheet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J12" i="1"/>
  <c r="L12" i="1" s="1"/>
  <c r="M12" i="1" s="1"/>
  <c r="J13" i="1"/>
  <c r="L13" i="1" s="1"/>
  <c r="M13" i="1" s="1"/>
  <c r="J14" i="1"/>
  <c r="L14" i="1" s="1"/>
  <c r="M14" i="1" s="1"/>
  <c r="J15" i="1"/>
  <c r="L15" i="1" s="1"/>
  <c r="M15" i="1" s="1"/>
  <c r="J16" i="1"/>
  <c r="L16" i="1" s="1"/>
  <c r="M16" i="1" s="1"/>
  <c r="J17" i="1"/>
  <c r="L17" i="1" s="1"/>
  <c r="M17" i="1" s="1"/>
  <c r="J18" i="1"/>
  <c r="L18" i="1" s="1"/>
  <c r="M18" i="1" s="1"/>
  <c r="J19" i="1"/>
  <c r="L19" i="1" s="1"/>
  <c r="M19" i="1" s="1"/>
  <c r="J20" i="1"/>
  <c r="L20" i="1" s="1"/>
  <c r="M20" i="1" s="1"/>
  <c r="J21" i="1"/>
  <c r="J22" i="1"/>
  <c r="J23" i="1"/>
  <c r="J24" i="1"/>
  <c r="L24" i="1" s="1"/>
  <c r="M24" i="1" s="1"/>
  <c r="J25" i="1"/>
  <c r="J26" i="1"/>
  <c r="J27" i="1"/>
  <c r="L27" i="1" s="1"/>
  <c r="M27" i="1" s="1"/>
  <c r="J28" i="1"/>
  <c r="L28" i="1" s="1"/>
  <c r="M28" i="1" s="1"/>
  <c r="J29" i="1"/>
  <c r="L29" i="1" s="1"/>
  <c r="M29" i="1" s="1"/>
  <c r="J30" i="1"/>
  <c r="L30" i="1" s="1"/>
  <c r="M30" i="1" s="1"/>
  <c r="J31" i="1"/>
  <c r="L31" i="1" s="1"/>
  <c r="M31" i="1" s="1"/>
  <c r="J32" i="1"/>
  <c r="L32" i="1" s="1"/>
  <c r="M32" i="1" s="1"/>
  <c r="J33" i="1"/>
  <c r="J34" i="1"/>
  <c r="J35" i="1"/>
  <c r="J36" i="1"/>
  <c r="L36" i="1" s="1"/>
  <c r="M36" i="1" s="1"/>
  <c r="J37" i="1"/>
  <c r="L37" i="1" s="1"/>
  <c r="M37" i="1" s="1"/>
  <c r="J38" i="1"/>
  <c r="L38" i="1" s="1"/>
  <c r="M38" i="1" s="1"/>
  <c r="J39" i="1"/>
  <c r="L39" i="1" s="1"/>
  <c r="M39" i="1" s="1"/>
  <c r="J40" i="1"/>
  <c r="L40" i="1" s="1"/>
  <c r="M40" i="1" s="1"/>
  <c r="J41" i="1"/>
  <c r="L41" i="1" s="1"/>
  <c r="M41" i="1" s="1"/>
  <c r="J42" i="1"/>
  <c r="L42" i="1" s="1"/>
  <c r="M42" i="1" s="1"/>
  <c r="J43" i="1"/>
  <c r="L43" i="1" s="1"/>
  <c r="M43" i="1" s="1"/>
  <c r="J44" i="1"/>
  <c r="L44" i="1" s="1"/>
  <c r="M44" i="1" s="1"/>
  <c r="J45" i="1"/>
  <c r="J46" i="1"/>
  <c r="J47" i="1"/>
  <c r="J48" i="1"/>
  <c r="J49" i="1"/>
  <c r="J50" i="1"/>
  <c r="J51" i="1"/>
  <c r="L51" i="1" s="1"/>
  <c r="M51" i="1" s="1"/>
  <c r="J52" i="1"/>
  <c r="L52" i="1" s="1"/>
  <c r="M52" i="1" s="1"/>
  <c r="J53" i="1"/>
  <c r="L53" i="1" s="1"/>
  <c r="M53" i="1" s="1"/>
  <c r="J54" i="1"/>
  <c r="L54" i="1" s="1"/>
  <c r="M54" i="1" s="1"/>
  <c r="J55" i="1"/>
  <c r="L55" i="1" s="1"/>
  <c r="M55" i="1" s="1"/>
  <c r="J56" i="1"/>
  <c r="L56" i="1" s="1"/>
  <c r="M56" i="1" s="1"/>
  <c r="J57" i="1"/>
  <c r="J58" i="1"/>
  <c r="J59" i="1"/>
  <c r="J60" i="1"/>
  <c r="L60" i="1" s="1"/>
  <c r="M60" i="1" s="1"/>
  <c r="J61" i="1"/>
  <c r="L61" i="1" s="1"/>
  <c r="M61" i="1" s="1"/>
  <c r="J62" i="1"/>
  <c r="L62" i="1" s="1"/>
  <c r="M62" i="1" s="1"/>
  <c r="J63" i="1"/>
  <c r="L63" i="1" s="1"/>
  <c r="M63" i="1" s="1"/>
  <c r="J64" i="1"/>
  <c r="L64" i="1" s="1"/>
  <c r="M64" i="1" s="1"/>
  <c r="J65" i="1"/>
  <c r="L65" i="1" s="1"/>
  <c r="M65" i="1" s="1"/>
  <c r="J66" i="1"/>
  <c r="L66" i="1" s="1"/>
  <c r="M66" i="1" s="1"/>
  <c r="J67" i="1"/>
  <c r="L67" i="1" s="1"/>
  <c r="M67" i="1" s="1"/>
  <c r="J68" i="1"/>
  <c r="L68" i="1" s="1"/>
  <c r="M68" i="1" s="1"/>
  <c r="J69" i="1"/>
  <c r="J70" i="1"/>
  <c r="J71" i="1"/>
  <c r="J72" i="1"/>
  <c r="J73" i="1"/>
  <c r="J74" i="1"/>
  <c r="J75" i="1"/>
  <c r="L75" i="1" s="1"/>
  <c r="M75" i="1" s="1"/>
  <c r="J76" i="1"/>
  <c r="L76" i="1" s="1"/>
  <c r="M76" i="1" s="1"/>
  <c r="J77" i="1"/>
  <c r="L77" i="1" s="1"/>
  <c r="M77" i="1" s="1"/>
  <c r="J78" i="1"/>
  <c r="L78" i="1" s="1"/>
  <c r="M78" i="1" s="1"/>
  <c r="J79" i="1"/>
  <c r="L79" i="1" s="1"/>
  <c r="M79" i="1" s="1"/>
  <c r="J80" i="1"/>
  <c r="L80" i="1" s="1"/>
  <c r="M80" i="1" s="1"/>
  <c r="J81" i="1"/>
  <c r="J82" i="1"/>
  <c r="J83" i="1"/>
  <c r="J84" i="1"/>
  <c r="L84" i="1" s="1"/>
  <c r="M84" i="1" s="1"/>
  <c r="J85" i="1"/>
  <c r="L85" i="1" s="1"/>
  <c r="M85" i="1" s="1"/>
  <c r="J86" i="1"/>
  <c r="L86" i="1" s="1"/>
  <c r="M86" i="1" s="1"/>
  <c r="J87" i="1"/>
  <c r="L87" i="1" s="1"/>
  <c r="M87" i="1" s="1"/>
  <c r="J88" i="1"/>
  <c r="L88" i="1" s="1"/>
  <c r="M88" i="1" s="1"/>
  <c r="J89" i="1"/>
  <c r="L89" i="1" s="1"/>
  <c r="M89" i="1" s="1"/>
  <c r="J90" i="1"/>
  <c r="L90" i="1" s="1"/>
  <c r="M90" i="1" s="1"/>
  <c r="J91" i="1"/>
  <c r="L91" i="1" s="1"/>
  <c r="M91" i="1" s="1"/>
  <c r="J92" i="1"/>
  <c r="L92" i="1" s="1"/>
  <c r="M92" i="1" s="1"/>
  <c r="J93" i="1"/>
  <c r="J94" i="1"/>
  <c r="J95" i="1"/>
  <c r="J96" i="1"/>
  <c r="J97" i="1"/>
  <c r="J98" i="1"/>
  <c r="J99" i="1"/>
  <c r="L99" i="1" s="1"/>
  <c r="M99" i="1" s="1"/>
  <c r="J100" i="1"/>
  <c r="L100" i="1" s="1"/>
  <c r="M100" i="1" s="1"/>
  <c r="J101" i="1"/>
  <c r="L101" i="1" s="1"/>
  <c r="M101" i="1" s="1"/>
  <c r="L21" i="1"/>
  <c r="M21" i="1" s="1"/>
  <c r="L22" i="1"/>
  <c r="M22" i="1" s="1"/>
  <c r="L23" i="1"/>
  <c r="M23" i="1" s="1"/>
  <c r="L25" i="1"/>
  <c r="M25" i="1" s="1"/>
  <c r="L26" i="1"/>
  <c r="M26" i="1" s="1"/>
  <c r="L33" i="1"/>
  <c r="M33" i="1" s="1"/>
  <c r="L34" i="1"/>
  <c r="M34" i="1" s="1"/>
  <c r="L35" i="1"/>
  <c r="M35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7" i="1"/>
  <c r="M57" i="1" s="1"/>
  <c r="L58" i="1"/>
  <c r="M58" i="1" s="1"/>
  <c r="L59" i="1"/>
  <c r="M59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81" i="1"/>
  <c r="M81" i="1" s="1"/>
  <c r="L82" i="1"/>
  <c r="M82" i="1" s="1"/>
  <c r="L83" i="1"/>
  <c r="M83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2" i="1"/>
  <c r="M2" i="1" s="1"/>
  <c r="M4" i="1"/>
  <c r="M5" i="1"/>
  <c r="M6" i="1"/>
  <c r="L3" i="1"/>
  <c r="M3" i="1" s="1"/>
  <c r="L4" i="1"/>
  <c r="L5" i="1"/>
  <c r="L6" i="1"/>
  <c r="L7" i="1"/>
  <c r="M7" i="1" s="1"/>
  <c r="L8" i="1"/>
  <c r="M8" i="1" s="1"/>
  <c r="L9" i="1"/>
  <c r="M9" i="1" s="1"/>
  <c r="L10" i="1"/>
  <c r="M10" i="1" s="1"/>
  <c r="L11" i="1"/>
  <c r="M11" i="1" s="1"/>
  <c r="J3" i="1"/>
  <c r="J4" i="1"/>
  <c r="J5" i="1"/>
  <c r="J6" i="1"/>
  <c r="J7" i="1"/>
  <c r="J8" i="1"/>
  <c r="J9" i="1"/>
  <c r="J10" i="1"/>
  <c r="J11" i="1"/>
  <c r="J2" i="1"/>
  <c r="D4" i="1"/>
  <c r="D3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<sst xmlns="http://schemas.openxmlformats.org/spreadsheetml/2006/main" count="919" uniqueCount="364">
  <si>
    <t>Order ID</t>
  </si>
  <si>
    <t>Order Date</t>
  </si>
  <si>
    <t>Customer ID</t>
  </si>
  <si>
    <t>State</t>
  </si>
  <si>
    <t>Discount(%)</t>
  </si>
  <si>
    <t>Sales</t>
  </si>
  <si>
    <t>Profit</t>
  </si>
  <si>
    <t>Salesperson</t>
  </si>
  <si>
    <t>Customer Name</t>
  </si>
  <si>
    <t>Category</t>
  </si>
  <si>
    <t>Product</t>
  </si>
  <si>
    <t>Quantity</t>
  </si>
  <si>
    <t>Unit Price</t>
  </si>
  <si>
    <t>Electronics</t>
  </si>
  <si>
    <t>Grocery</t>
  </si>
  <si>
    <t>Clothing</t>
  </si>
  <si>
    <t>Laptop</t>
  </si>
  <si>
    <t>Smartphone</t>
  </si>
  <si>
    <t>Headphone</t>
  </si>
  <si>
    <t>Smartwatch</t>
  </si>
  <si>
    <t>Printer</t>
  </si>
  <si>
    <t>Rice</t>
  </si>
  <si>
    <t>Sugar</t>
  </si>
  <si>
    <t>Cooking Oil</t>
  </si>
  <si>
    <t>Wheat Flour</t>
  </si>
  <si>
    <t>Tea Powder</t>
  </si>
  <si>
    <t>T-Shirt</t>
  </si>
  <si>
    <t>Jeans</t>
  </si>
  <si>
    <t>Jacket</t>
  </si>
  <si>
    <t>Shoes</t>
  </si>
  <si>
    <t>Hoodie</t>
  </si>
  <si>
    <t>States</t>
  </si>
  <si>
    <t>Karnataka</t>
  </si>
  <si>
    <t>Tamil Nadu</t>
  </si>
  <si>
    <t>Kerala</t>
  </si>
  <si>
    <t>Andhra Pradesh</t>
  </si>
  <si>
    <t>Telangana</t>
  </si>
  <si>
    <t>Maharashtra</t>
  </si>
  <si>
    <t>Delhi</t>
  </si>
  <si>
    <t>Gujarat</t>
  </si>
  <si>
    <t>Rajasthan</t>
  </si>
  <si>
    <t xml:space="preserve">West Bengal </t>
  </si>
  <si>
    <t>Rahul</t>
  </si>
  <si>
    <t>Priya</t>
  </si>
  <si>
    <t>Arjun</t>
  </si>
  <si>
    <t>Sneha</t>
  </si>
  <si>
    <t>Kiran</t>
  </si>
  <si>
    <t>Neha</t>
  </si>
  <si>
    <t>Rohan</t>
  </si>
  <si>
    <t>Anjali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</si>
  <si>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</si>
  <si>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</si>
  <si>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</si>
  <si>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</si>
  <si>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</si>
  <si>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</si>
  <si>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</si>
  <si>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</si>
  <si>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</si>
  <si>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</si>
  <si>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Amit Sharma</t>
  </si>
  <si>
    <t>Priya Nair</t>
  </si>
  <si>
    <t>Ravi Kumar</t>
  </si>
  <si>
    <t>Sneha Reddy</t>
  </si>
  <si>
    <t>Arjun Singh</t>
  </si>
  <si>
    <t>Neha Patel</t>
  </si>
  <si>
    <t>Kiran Das</t>
  </si>
  <si>
    <t>Anjali Verma</t>
  </si>
  <si>
    <t>Rohith Jain</t>
  </si>
  <si>
    <t>Meera Iyer</t>
  </si>
  <si>
    <t>Profit (%)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</si>
  <si>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</si>
  <si>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</si>
  <si>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</si>
  <si>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</si>
  <si>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</si>
  <si>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</si>
  <si>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</si>
  <si>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</si>
  <si>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</si>
  <si>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</si>
  <si>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TamilNadu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</si>
  <si>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</si>
  <si>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</si>
  <si>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</si>
  <si>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</si>
  <si>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</si>
  <si>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</si>
  <si>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</si>
  <si>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</si>
  <si>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</si>
  <si>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</si>
  <si>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</si>
  <si>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</si>
  <si>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</si>
  <si>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</si>
  <si>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</si>
  <si>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</si>
  <si>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</si>
  <si>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</si>
  <si>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</si>
  <si>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</si>
  <si>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</si>
  <si>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</si>
  <si>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</si>
  <si>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</si>
  <si>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</si>
  <si>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</si>
  <si>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</si>
  <si>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</si>
  <si>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</si>
  <si>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</si>
  <si>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</si>
  <si>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</si>
  <si>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</si>
  <si>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</si>
  <si>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</si>
  <si>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</si>
  <si>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</si>
  <si>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</si>
  <si>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</si>
  <si>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</si>
  <si>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</si>
  <si>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</si>
  <si>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</si>
  <si>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</si>
  <si>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</si>
  <si>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</si>
  <si>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</si>
  <si>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</si>
  <si>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</si>
  <si>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</si>
  <si>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</si>
  <si>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</si>
  <si>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</si>
  <si>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</si>
  <si>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</si>
  <si>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</si>
  <si>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</si>
  <si>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</si>
  <si>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</si>
  <si>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</si>
  <si>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</si>
  <si>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</si>
  <si>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</si>
  <si>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</si>
  <si>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</si>
  <si>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</si>
  <si>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</si>
  <si>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</si>
  <si>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</si>
  <si>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</si>
  <si>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</si>
  <si>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</si>
  <si>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</si>
  <si>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</si>
  <si>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</si>
  <si>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</si>
  <si>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</si>
  <si>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</si>
  <si>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</si>
  <si>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</si>
  <si>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</si>
  <si>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</si>
  <si>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</si>
  <si>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</si>
  <si>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</si>
  <si>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</si>
  <si>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</si>
  <si>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</si>
  <si>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</si>
  <si>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</si>
  <si>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</si>
  <si>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</si>
  <si>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</si>
  <si>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</si>
  <si>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</si>
  <si>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</si>
  <si>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</si>
  <si>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</si>
  <si>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</si>
  <si>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</si>
  <si>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</si>
  <si>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</si>
  <si>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</si>
  <si>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</si>
  <si>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</si>
  <si>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</si>
  <si>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</si>
  <si>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</si>
  <si>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</si>
  <si>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</si>
  <si>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</si>
  <si>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</si>
  <si>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</si>
  <si>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</si>
  <si>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</si>
  <si>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</si>
  <si>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</si>
  <si>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</si>
  <si>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</si>
  <si>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</si>
  <si>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</si>
  <si>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</si>
  <si>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</si>
  <si>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</si>
  <si>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</si>
  <si>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</si>
  <si>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</si>
  <si>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</si>
  <si>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</si>
  <si>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</si>
  <si>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</si>
  <si>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</si>
  <si>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</si>
  <si>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</si>
  <si>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</si>
  <si>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</si>
  <si>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</si>
  <si>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</si>
  <si>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</si>
  <si>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</si>
  <si>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</si>
  <si>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</si>
  <si>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</si>
  <si>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</si>
  <si>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</si>
  <si>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</si>
  <si>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</si>
  <si>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</si>
  <si>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</si>
  <si>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</si>
  <si>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</si>
  <si>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</si>
  <si>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</si>
  <si>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</si>
  <si>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</si>
  <si>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</si>
  <si>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</si>
  <si>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</si>
  <si>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</si>
  <si>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</si>
  <si>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</si>
  <si>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</si>
  <si>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</si>
  <si>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</si>
  <si>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</si>
  <si>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</si>
  <si>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</si>
  <si>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</si>
  <si>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</si>
  <si>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</si>
  <si>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</si>
  <si>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</si>
  <si>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</si>
  <si>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</si>
  <si>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</si>
  <si>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</si>
  <si>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</si>
  <si>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</si>
  <si>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</si>
  <si>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</si>
  <si>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Akash Kumar</t>
  </si>
  <si>
    <t>Divya Rao</t>
  </si>
  <si>
    <t xml:space="preserve">Sanjay Patel </t>
  </si>
  <si>
    <t>Pooja Sharma</t>
  </si>
  <si>
    <t>Vikram Singh</t>
  </si>
  <si>
    <t>Nisha Reddy</t>
  </si>
  <si>
    <t>Karthik Nair</t>
  </si>
  <si>
    <t>Deepa Das</t>
  </si>
  <si>
    <t>Manoj Verma</t>
  </si>
  <si>
    <t>Aisha Khan</t>
  </si>
  <si>
    <t>Rohan Mehta</t>
  </si>
  <si>
    <t>Kavya Iyer</t>
  </si>
  <si>
    <t>Aditya Joshi</t>
  </si>
  <si>
    <t>Shruthi Rao</t>
  </si>
  <si>
    <t>Harish Kumar</t>
  </si>
  <si>
    <t>Pooja Nair</t>
  </si>
  <si>
    <t>Aditi Sharma</t>
  </si>
  <si>
    <t>Sandeep Das</t>
  </si>
  <si>
    <t xml:space="preserve">Naveen Kumar </t>
  </si>
  <si>
    <t>Jeevitha</t>
  </si>
  <si>
    <t>Rahul Gupta</t>
  </si>
  <si>
    <t>Swathi kumari</t>
  </si>
  <si>
    <t>Ajay Verma</t>
  </si>
  <si>
    <t>Nikita Singh</t>
  </si>
  <si>
    <t>Varun Nair</t>
  </si>
  <si>
    <t>Bhavana Rao</t>
  </si>
  <si>
    <t>Mohan Krishna</t>
  </si>
  <si>
    <t>Keerthi Reddy</t>
  </si>
  <si>
    <t>Vivek Jain</t>
  </si>
  <si>
    <t>Ananya Das</t>
  </si>
  <si>
    <t>Kunal Sharma</t>
  </si>
  <si>
    <t>Ritu Verma</t>
  </si>
  <si>
    <t>Abhishek Singh</t>
  </si>
  <si>
    <t>Lakshmi Iyer</t>
  </si>
  <si>
    <t>Nitin Patel</t>
  </si>
  <si>
    <t>Shreya Gupta</t>
  </si>
  <si>
    <t>Ashwin Kumar</t>
  </si>
  <si>
    <t>Pallavi Rao</t>
  </si>
  <si>
    <t>Gaurav Mehta</t>
  </si>
  <si>
    <t>Reshma Nair</t>
  </si>
  <si>
    <t>Arun Reddy</t>
  </si>
  <si>
    <t>Divyansh Sharma</t>
  </si>
  <si>
    <t>Sahana Iyer</t>
  </si>
  <si>
    <t>Rohit Verma</t>
  </si>
  <si>
    <t>Ishita Patel</t>
  </si>
  <si>
    <t>Kiran Kumar</t>
  </si>
  <si>
    <t>Snehal  Das</t>
  </si>
  <si>
    <t>Tarun Singh</t>
  </si>
  <si>
    <t>Nandini Rao</t>
  </si>
  <si>
    <t>Manish Gupta</t>
  </si>
  <si>
    <t>Chandan Kumar</t>
  </si>
  <si>
    <t>Rachana Nair</t>
  </si>
  <si>
    <t>Akhil Reddy</t>
  </si>
  <si>
    <t>Monika Sharma</t>
  </si>
  <si>
    <t>Sagar Patel</t>
  </si>
  <si>
    <t>Harini Iyer</t>
  </si>
  <si>
    <t>Deepak Verma</t>
  </si>
  <si>
    <t>Preethi Rao</t>
  </si>
  <si>
    <t>Vinay Kumar</t>
  </si>
  <si>
    <t>Aarti Singh</t>
  </si>
  <si>
    <t>Yash Mehta</t>
  </si>
  <si>
    <t>Priyanka Das</t>
  </si>
  <si>
    <t>Tejas Nair</t>
  </si>
  <si>
    <t>Komal Gupta</t>
  </si>
  <si>
    <t>Siddharth Rao</t>
  </si>
  <si>
    <t>Bhavya Sharma</t>
  </si>
  <si>
    <t>Hemant  Patel</t>
  </si>
  <si>
    <t>Anusha Reddy</t>
  </si>
  <si>
    <t>Rakesh Kumar</t>
  </si>
  <si>
    <t>Neelam Verma</t>
  </si>
  <si>
    <t>Darshan Iyer</t>
  </si>
  <si>
    <t>Krithi Nair</t>
  </si>
  <si>
    <t>Suresh Rao</t>
  </si>
  <si>
    <t>Riya Sharma</t>
  </si>
  <si>
    <t>Dinesh Patel</t>
  </si>
  <si>
    <t>Tanvi Gupta</t>
  </si>
  <si>
    <t>Mahesh Kumar</t>
  </si>
  <si>
    <t>Vaishnavi Reddy</t>
  </si>
  <si>
    <t>Chetan Singh</t>
  </si>
  <si>
    <t>Poonam Das</t>
  </si>
  <si>
    <t>Prakash Nair</t>
  </si>
  <si>
    <t>Shalini Rao</t>
  </si>
  <si>
    <t>Nikhil Gowda</t>
  </si>
  <si>
    <t>Gayathri Gowda</t>
  </si>
  <si>
    <t>Lokesh Kumar</t>
  </si>
  <si>
    <t>Soniya patel</t>
  </si>
  <si>
    <t>Uday Kumar</t>
  </si>
  <si>
    <t>Harsha Reddy</t>
  </si>
  <si>
    <t>Keshav Mehta</t>
  </si>
  <si>
    <t>Divya Sharma</t>
  </si>
  <si>
    <t>Sum - Quantity</t>
  </si>
  <si>
    <t>Total Result</t>
  </si>
  <si>
    <t>Sum - Sales</t>
  </si>
  <si>
    <t>Sum - Profit</t>
  </si>
  <si>
    <t>Retail Sales Dashboard</t>
  </si>
  <si>
    <t>Total Quantity</t>
  </si>
  <si>
    <t>Total sales</t>
  </si>
  <si>
    <t>Total Profit</t>
  </si>
  <si>
    <t>Most Profitable State : Karnataka</t>
  </si>
  <si>
    <t>Top Salesperson : Rahul</t>
  </si>
  <si>
    <t>Highest Sales Category : Electronics</t>
  </si>
  <si>
    <t>Top Quantity Product :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</si>
</sst>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4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>
      <alignment horizontal="left"/>
    </xf>
    <xf numFmtId="0" fontId="3" fillId="0" borderId="0" applyBorder="0" applyProtection="0"/>
    <xf numFmtId="0" fontId="4" fillId="0" borderId="0" applyBorder="0" applyProtection="0">
      <alignment horizontal="left"/>
    </xf>
    <xf numFmtId="0" fontId="4" fillId="0" borderId="0" applyBorder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  <xf numFmtId="15" fontId="0" fillId="0" borderId="0" xfId="0" applyNumberFormat="1"/>
    <xf numFmtId="0" fontId="3" fillId="0" borderId="2" xfId="2" applyBorder="1"/>
    <xf numFmtId="0" fontId="3" fillId="0" borderId="3" xfId="3" applyBorder="1">
      <alignment horizontal="left"/>
    </xf>
    <xf numFmtId="0" fontId="3" fillId="0" borderId="4" xfId="4" applyBorder="1"/>
    <xf numFmtId="0" fontId="3" fillId="0" borderId="5" xfId="3" applyBorder="1">
      <alignment horizontal="left"/>
    </xf>
    <xf numFmtId="0" fontId="3" fillId="0" borderId="6" xfId="4" applyBorder="1"/>
    <xf numFmtId="0" fontId="3" fillId="0" borderId="7" xfId="4" applyBorder="1"/>
    <xf numFmtId="0" fontId="4" fillId="0" borderId="8" xfId="5" applyBorder="1">
      <alignment horizontal="left"/>
    </xf>
    <xf numFmtId="0" fontId="4" fillId="0" borderId="9" xfId="6" applyBorder="1"/>
    <xf numFmtId="0" fontId="3" fillId="0" borderId="1" xfId="1" pivotButton="1" applyBorder="1"/>
    <xf numFmtId="0" fontId="5" fillId="0" borderId="0" xfId="0" applyFont="1"/>
    <xf numFmtId="0" fontId="2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</cellXfs>
  <cellStyles count="7">
    <cellStyle name="Normal" xfId="0" builtinId="0"/>
    <cellStyle name="Pivot Table Category" xfId="3" xr:uid="{86FC4E51-24DF-4C1E-8E28-8662C9F1ED57}"/>
    <cellStyle name="Pivot Table Corner" xfId="2" xr:uid="{376AB23A-A84E-4C87-A277-A2D0847574BE}"/>
    <cellStyle name="Pivot Table Field" xfId="1" xr:uid="{9F534250-D228-4955-833A-F3D7C44AB328}"/>
    <cellStyle name="Pivot Table Result" xfId="6" xr:uid="{14398942-C300-43A0-ADCA-27CADA59F20F}"/>
    <cellStyle name="Pivot Table Title" xfId="5" xr:uid="{F2B2065B-D87F-44DC-BA8C-E1FE89CA34EE}"/>
    <cellStyle name="Pivot Table Value" xfId="4" xr:uid="{EA85D002-620E-42A9-A134-7ECDA033DA33}"/>
  </cellStyles>
  <dxfs count="4">
    <dxf>
      <numFmt numFmtId="13" formatCode="0%"/>
    </dxf>
    <dxf>
      <numFmt numFmtId="13" formatCode="0%"/>
    </dxf>
    <dxf>
      <numFmt numFmtId="20" formatCode="dd/mmm/yy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Quantity Sold by Product 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443253721915466"/>
          <c:y val="7.92992591902343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Jeans</c:v>
              </c:pt>
              <c:pt idx="1">
                <c:v>Laptop</c:v>
              </c:pt>
              <c:pt idx="2">
                <c:v>Printer</c:v>
              </c:pt>
              <c:pt idx="3">
                <c:v>Rice</c:v>
              </c:pt>
              <c:pt idx="4">
                <c:v>Shoes</c:v>
              </c:pt>
              <c:pt idx="5">
                <c:v>Smartphone</c:v>
              </c:pt>
              <c:pt idx="6">
                <c:v>Smartwatch</c:v>
              </c:pt>
              <c:pt idx="7">
                <c:v>Sugar</c:v>
              </c:pt>
              <c:pt idx="8">
                <c:v>T-Shirt</c:v>
              </c:pt>
              <c:pt idx="9">
                <c:v>Tea Powder</c:v>
              </c:pt>
            </c:strLit>
          </c:cat>
          <c:val>
            <c:numLit>
              <c:formatCode>General</c:formatCode>
              <c:ptCount val="10"/>
              <c:pt idx="0">
                <c:v>20</c:v>
              </c:pt>
              <c:pt idx="1">
                <c:v>10</c:v>
              </c:pt>
              <c:pt idx="2">
                <c:v>10</c:v>
              </c:pt>
              <c:pt idx="3">
                <c:v>30</c:v>
              </c:pt>
              <c:pt idx="4">
                <c:v>20</c:v>
              </c:pt>
              <c:pt idx="5">
                <c:v>10</c:v>
              </c:pt>
              <c:pt idx="6">
                <c:v>30</c:v>
              </c:pt>
              <c:pt idx="7">
                <c:v>50</c:v>
              </c:pt>
              <c:pt idx="8">
                <c:v>20</c:v>
              </c:pt>
              <c:pt idx="9">
                <c:v>40</c:v>
              </c:pt>
            </c:numLit>
          </c:val>
          <c:extLst>
            <c:ext xmlns:c16="http://schemas.microsoft.com/office/drawing/2014/chart" uri="{C3380CC4-5D6E-409C-BE32-E72D297353CC}">
              <c16:uniqueId val="{00000000-1D65-4877-80EA-B2215FDBB9D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14221600"/>
        <c:axId val="1586874928"/>
      </c:barChart>
      <c:catAx>
        <c:axId val="2014221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874928"/>
        <c:crosses val="autoZero"/>
        <c:auto val="1"/>
        <c:lblAlgn val="ctr"/>
        <c:lblOffset val="100"/>
        <c:noMultiLvlLbl val="0"/>
      </c:catAx>
      <c:valAx>
        <c:axId val="15868749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22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Performance by Salesperson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Anjali</c:v>
              </c:pt>
              <c:pt idx="1">
                <c:v>Arjun</c:v>
              </c:pt>
              <c:pt idx="2">
                <c:v>Kiran</c:v>
              </c:pt>
              <c:pt idx="3">
                <c:v>Neha</c:v>
              </c:pt>
              <c:pt idx="4">
                <c:v>Priya</c:v>
              </c:pt>
              <c:pt idx="5">
                <c:v>Rahul</c:v>
              </c:pt>
              <c:pt idx="6">
                <c:v>Rohan</c:v>
              </c:pt>
              <c:pt idx="7">
                <c:v>Sneha</c:v>
              </c:pt>
            </c:strLit>
          </c:cat>
          <c:val>
            <c:numLit>
              <c:formatCode>General</c:formatCode>
              <c:ptCount val="8"/>
              <c:pt idx="0">
                <c:v>13300</c:v>
              </c:pt>
              <c:pt idx="1">
                <c:v>13583</c:v>
              </c:pt>
              <c:pt idx="2">
                <c:v>3000</c:v>
              </c:pt>
              <c:pt idx="3">
                <c:v>35982</c:v>
              </c:pt>
              <c:pt idx="4">
                <c:v>169200</c:v>
              </c:pt>
              <c:pt idx="5">
                <c:v>624984</c:v>
              </c:pt>
              <c:pt idx="6">
                <c:v>105600</c:v>
              </c:pt>
              <c:pt idx="7">
                <c:v>230000</c:v>
              </c:pt>
            </c:numLit>
          </c:val>
          <c:extLst>
            <c:ext xmlns:c16="http://schemas.microsoft.com/office/drawing/2014/chart" uri="{C3380CC4-5D6E-409C-BE32-E72D297353CC}">
              <c16:uniqueId val="{00000000-2B29-4010-8478-40A5499CFB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912703"/>
        <c:axId val="8206191"/>
      </c:barChart>
      <c:catAx>
        <c:axId val="3791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6191"/>
        <c:crosses val="autoZero"/>
        <c:auto val="1"/>
        <c:lblAlgn val="ctr"/>
        <c:lblOffset val="100"/>
        <c:noMultiLvlLbl val="0"/>
      </c:catAx>
      <c:valAx>
        <c:axId val="82061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791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Andhra Pradesh</c:v>
              </c:pt>
              <c:pt idx="1">
                <c:v>Delhi</c:v>
              </c:pt>
              <c:pt idx="2">
                <c:v>Gujarat</c:v>
              </c:pt>
              <c:pt idx="3">
                <c:v>Karnataka</c:v>
              </c:pt>
              <c:pt idx="4">
                <c:v>Kerala</c:v>
              </c:pt>
              <c:pt idx="5">
                <c:v>Maharashtra</c:v>
              </c:pt>
              <c:pt idx="6">
                <c:v>Rajasthan</c:v>
              </c:pt>
              <c:pt idx="7">
                <c:v>TamilNadu</c:v>
              </c:pt>
              <c:pt idx="8">
                <c:v>Telangana</c:v>
              </c:pt>
            </c:strLit>
          </c:cat>
          <c:val>
            <c:numLit>
              <c:formatCode>General</c:formatCode>
              <c:ptCount val="9"/>
              <c:pt idx="0">
                <c:v>24300</c:v>
              </c:pt>
              <c:pt idx="1">
                <c:v>15840</c:v>
              </c:pt>
              <c:pt idx="2">
                <c:v>1995</c:v>
              </c:pt>
              <c:pt idx="3">
                <c:v>116094.6</c:v>
              </c:pt>
              <c:pt idx="4">
                <c:v>3395.75</c:v>
              </c:pt>
              <c:pt idx="5">
                <c:v>240</c:v>
              </c:pt>
              <c:pt idx="6">
                <c:v>11195.52</c:v>
              </c:pt>
              <c:pt idx="7">
                <c:v>3420</c:v>
              </c:pt>
              <c:pt idx="8">
                <c:v>34500</c:v>
              </c:pt>
            </c:numLit>
          </c:val>
          <c:extLst>
            <c:ext xmlns:c16="http://schemas.microsoft.com/office/drawing/2014/chart" uri="{C3380CC4-5D6E-409C-BE32-E72D297353CC}">
              <c16:uniqueId val="{00000000-D828-4CB6-979F-DC4615BFEA0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75340864"/>
        <c:axId val="8265231"/>
      </c:barChart>
      <c:catAx>
        <c:axId val="1375340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231"/>
        <c:crosses val="autoZero"/>
        <c:auto val="1"/>
        <c:lblAlgn val="ctr"/>
        <c:lblOffset val="100"/>
        <c:noMultiLvlLbl val="0"/>
      </c:catAx>
      <c:valAx>
        <c:axId val="82652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34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A00-437C-BC1C-441BF83001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A00-437C-BC1C-441BF83001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A00-437C-BC1C-441BF83001F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Clothing</c:v>
              </c:pt>
              <c:pt idx="1">
                <c:v>Electronics</c:v>
              </c:pt>
              <c:pt idx="2">
                <c:v>Grocery</c:v>
              </c:pt>
            </c:strLit>
          </c:cat>
          <c:val>
            <c:numLit>
              <c:formatCode>General</c:formatCode>
              <c:ptCount val="3"/>
              <c:pt idx="0">
                <c:v>89549</c:v>
              </c:pt>
              <c:pt idx="1">
                <c:v>1055600</c:v>
              </c:pt>
              <c:pt idx="2">
                <c:v>50500</c:v>
              </c:pt>
            </c:numLit>
          </c:val>
          <c:extLst>
            <c:ext xmlns:c16="http://schemas.microsoft.com/office/drawing/2014/chart" uri="{C3380CC4-5D6E-409C-BE32-E72D297353CC}">
              <c16:uniqueId val="{00000006-BA00-437C-BC1C-441BF83001F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Quantity Sold by Product 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 w="15875">
              <a:noFill/>
              <a:round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Jeans</c:v>
              </c:pt>
              <c:pt idx="1">
                <c:v>Laptop</c:v>
              </c:pt>
              <c:pt idx="2">
                <c:v>Printer</c:v>
              </c:pt>
              <c:pt idx="3">
                <c:v>Rice</c:v>
              </c:pt>
              <c:pt idx="4">
                <c:v>Shoes</c:v>
              </c:pt>
              <c:pt idx="5">
                <c:v>Smartphone</c:v>
              </c:pt>
              <c:pt idx="6">
                <c:v>Smartwatch</c:v>
              </c:pt>
              <c:pt idx="7">
                <c:v>Sugar</c:v>
              </c:pt>
              <c:pt idx="8">
                <c:v>T-Shirt</c:v>
              </c:pt>
              <c:pt idx="9">
                <c:v>Tea Powder</c:v>
              </c:pt>
            </c:strLit>
          </c:cat>
          <c:val>
            <c:numLit>
              <c:formatCode>General</c:formatCode>
              <c:ptCount val="10"/>
              <c:pt idx="0">
                <c:v>20</c:v>
              </c:pt>
              <c:pt idx="1">
                <c:v>10</c:v>
              </c:pt>
              <c:pt idx="2">
                <c:v>10</c:v>
              </c:pt>
              <c:pt idx="3">
                <c:v>30</c:v>
              </c:pt>
              <c:pt idx="4">
                <c:v>20</c:v>
              </c:pt>
              <c:pt idx="5">
                <c:v>10</c:v>
              </c:pt>
              <c:pt idx="6">
                <c:v>30</c:v>
              </c:pt>
              <c:pt idx="7">
                <c:v>50</c:v>
              </c:pt>
              <c:pt idx="8">
                <c:v>20</c:v>
              </c:pt>
              <c:pt idx="9">
                <c:v>40</c:v>
              </c:pt>
            </c:numLit>
          </c:val>
          <c:extLst>
            <c:ext xmlns:c16="http://schemas.microsoft.com/office/drawing/2014/chart" uri="{C3380CC4-5D6E-409C-BE32-E72D297353CC}">
              <c16:uniqueId val="{00000000-3463-46A3-BB67-897B460D465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2014221600"/>
        <c:axId val="1586874928"/>
      </c:barChart>
      <c:catAx>
        <c:axId val="201422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874928"/>
        <c:crosses val="autoZero"/>
        <c:auto val="1"/>
        <c:lblAlgn val="ctr"/>
        <c:lblOffset val="100"/>
        <c:noMultiLvlLbl val="0"/>
      </c:catAx>
      <c:valAx>
        <c:axId val="158687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22160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Sales Performance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 w="15875">
              <a:noFill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Anjali</c:v>
              </c:pt>
              <c:pt idx="1">
                <c:v>Arjun</c:v>
              </c:pt>
              <c:pt idx="2">
                <c:v>Kiran</c:v>
              </c:pt>
              <c:pt idx="3">
                <c:v>Neha</c:v>
              </c:pt>
              <c:pt idx="4">
                <c:v>Priya</c:v>
              </c:pt>
              <c:pt idx="5">
                <c:v>Rahul</c:v>
              </c:pt>
              <c:pt idx="6">
                <c:v>Rohan</c:v>
              </c:pt>
              <c:pt idx="7">
                <c:v>Sneha</c:v>
              </c:pt>
            </c:strLit>
          </c:cat>
          <c:val>
            <c:numLit>
              <c:formatCode>General</c:formatCode>
              <c:ptCount val="8"/>
              <c:pt idx="0">
                <c:v>13300</c:v>
              </c:pt>
              <c:pt idx="1">
                <c:v>13583</c:v>
              </c:pt>
              <c:pt idx="2">
                <c:v>3000</c:v>
              </c:pt>
              <c:pt idx="3">
                <c:v>35982</c:v>
              </c:pt>
              <c:pt idx="4">
                <c:v>169200</c:v>
              </c:pt>
              <c:pt idx="5">
                <c:v>624984</c:v>
              </c:pt>
              <c:pt idx="6">
                <c:v>105600</c:v>
              </c:pt>
              <c:pt idx="7">
                <c:v>230000</c:v>
              </c:pt>
            </c:numLit>
          </c:val>
          <c:extLst>
            <c:ext xmlns:c16="http://schemas.microsoft.com/office/drawing/2014/chart" uri="{C3380CC4-5D6E-409C-BE32-E72D297353CC}">
              <c16:uniqueId val="{00000000-64E5-4D65-8192-E1C4BFABD0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37912703"/>
        <c:axId val="8206191"/>
      </c:barChart>
      <c:catAx>
        <c:axId val="3791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6191"/>
        <c:crosses val="autoZero"/>
        <c:auto val="1"/>
        <c:lblAlgn val="ctr"/>
        <c:lblOffset val="100"/>
        <c:noMultiLvlLbl val="0"/>
      </c:catAx>
      <c:valAx>
        <c:axId val="820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270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Profit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 w="15875">
              <a:noFill/>
              <a:round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Andhra Pradesh</c:v>
              </c:pt>
              <c:pt idx="1">
                <c:v>Delhi</c:v>
              </c:pt>
              <c:pt idx="2">
                <c:v>Gujarat</c:v>
              </c:pt>
              <c:pt idx="3">
                <c:v>Karnataka</c:v>
              </c:pt>
              <c:pt idx="4">
                <c:v>Kerala</c:v>
              </c:pt>
              <c:pt idx="5">
                <c:v>Maharashtra</c:v>
              </c:pt>
              <c:pt idx="6">
                <c:v>Rajasthan</c:v>
              </c:pt>
              <c:pt idx="7">
                <c:v>TamilNadu</c:v>
              </c:pt>
              <c:pt idx="8">
                <c:v>Telangana</c:v>
              </c:pt>
            </c:strLit>
          </c:cat>
          <c:val>
            <c:numLit>
              <c:formatCode>General</c:formatCode>
              <c:ptCount val="9"/>
              <c:pt idx="0">
                <c:v>24300</c:v>
              </c:pt>
              <c:pt idx="1">
                <c:v>15840</c:v>
              </c:pt>
              <c:pt idx="2">
                <c:v>1995</c:v>
              </c:pt>
              <c:pt idx="3">
                <c:v>116094.6</c:v>
              </c:pt>
              <c:pt idx="4">
                <c:v>3395.75</c:v>
              </c:pt>
              <c:pt idx="5">
                <c:v>240</c:v>
              </c:pt>
              <c:pt idx="6">
                <c:v>11195.52</c:v>
              </c:pt>
              <c:pt idx="7">
                <c:v>3420</c:v>
              </c:pt>
              <c:pt idx="8">
                <c:v>34500</c:v>
              </c:pt>
            </c:numLit>
          </c:val>
          <c:extLst>
            <c:ext xmlns:c16="http://schemas.microsoft.com/office/drawing/2014/chart" uri="{C3380CC4-5D6E-409C-BE32-E72D297353CC}">
              <c16:uniqueId val="{00000000-D828-4CB6-979F-DC4615BFEA0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1375340864"/>
        <c:axId val="8265231"/>
      </c:barChart>
      <c:catAx>
        <c:axId val="137534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231"/>
        <c:crosses val="autoZero"/>
        <c:auto val="1"/>
        <c:lblAlgn val="ctr"/>
        <c:lblOffset val="100"/>
        <c:noMultiLvlLbl val="0"/>
      </c:catAx>
      <c:valAx>
        <c:axId val="826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34086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 w="19050"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 w="15875">
              <a:noFill/>
              <a:round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90-4F54-9474-BB2B8812B651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90-4F54-9474-BB2B8812B651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90-4F54-9474-BB2B8812B6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Clothing</c:v>
              </c:pt>
              <c:pt idx="1">
                <c:v>Electronics</c:v>
              </c:pt>
              <c:pt idx="2">
                <c:v>Grocery</c:v>
              </c:pt>
            </c:strLit>
          </c:cat>
          <c:val>
            <c:numLit>
              <c:formatCode>General</c:formatCode>
              <c:ptCount val="3"/>
              <c:pt idx="0">
                <c:v>89549</c:v>
              </c:pt>
              <c:pt idx="1">
                <c:v>1055600</c:v>
              </c:pt>
              <c:pt idx="2">
                <c:v>50500</c:v>
              </c:pt>
            </c:numLit>
          </c:val>
          <c:extLst>
            <c:ext xmlns:c16="http://schemas.microsoft.com/office/drawing/2014/chart" uri="{C3380CC4-5D6E-409C-BE32-E72D297353CC}">
              <c16:uniqueId val="{00000006-6990-4F54-9474-BB2B8812B65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4</xdr:row>
      <xdr:rowOff>144780</xdr:rowOff>
    </xdr:from>
    <xdr:to>
      <xdr:col>14</xdr:col>
      <xdr:colOff>45720</xdr:colOff>
      <xdr:row>25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18E6D1-8732-4211-8A34-B8ABDBE09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464820</xdr:colOff>
      <xdr:row>4</xdr:row>
      <xdr:rowOff>121920</xdr:rowOff>
    </xdr:from>
    <xdr:to>
      <xdr:col>19</xdr:col>
      <xdr:colOff>381000</xdr:colOff>
      <xdr:row>23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E43167-2F3C-4AF5-8AC4-8145E6C8C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4</xdr:row>
      <xdr:rowOff>38100</xdr:rowOff>
    </xdr:from>
    <xdr:to>
      <xdr:col>13</xdr:col>
      <xdr:colOff>396240</xdr:colOff>
      <xdr:row>23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E36E1F-34B0-4087-B012-847FC5C1B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</xdr:colOff>
      <xdr:row>4</xdr:row>
      <xdr:rowOff>22860</xdr:rowOff>
    </xdr:from>
    <xdr:to>
      <xdr:col>13</xdr:col>
      <xdr:colOff>472440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A3DA4E-B8C2-41A6-9567-4EBD0EEF5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</xdr:row>
      <xdr:rowOff>15239</xdr:rowOff>
    </xdr:from>
    <xdr:to>
      <xdr:col>9</xdr:col>
      <xdr:colOff>594732</xdr:colOff>
      <xdr:row>24</xdr:row>
      <xdr:rowOff>167268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F9BF01-2834-48C7-AF86-BDB8042C4B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427463</xdr:colOff>
      <xdr:row>3</xdr:row>
      <xdr:rowOff>288322</xdr:rowOff>
    </xdr:from>
    <xdr:to>
      <xdr:col>20</xdr:col>
      <xdr:colOff>724319</xdr:colOff>
      <xdr:row>24</xdr:row>
      <xdr:rowOff>167267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B31491-34C7-4B0B-ADCA-A4B6802F84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594732</xdr:colOff>
      <xdr:row>28</xdr:row>
      <xdr:rowOff>1</xdr:rowOff>
    </xdr:from>
    <xdr:to>
      <xdr:col>9</xdr:col>
      <xdr:colOff>594731</xdr:colOff>
      <xdr:row>50</xdr:row>
      <xdr:rowOff>111513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42ADC2-F758-4439-87B3-3C20FBD77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353122</xdr:colOff>
      <xdr:row>28</xdr:row>
      <xdr:rowOff>37170</xdr:rowOff>
    </xdr:from>
    <xdr:to>
      <xdr:col>20</xdr:col>
      <xdr:colOff>706244</xdr:colOff>
      <xdr:row>50</xdr:row>
      <xdr:rowOff>167268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B33E17-F66D-42EB-B99F-D02BE7CC2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ales_Pivot_Table_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00" xr:uid="{A13DD447-A2E3-43F6-AE6A-F1C9D1A7B60C}">
  <cacheSource type="worksheet">
    <worksheetSource ref="A1:M101" sheet="Pivot_Quantity_Product" r:id="rId2"/>
  </cacheSource>
  <cacheFields count="13">
    <cacheField name="Order ID" numFmtId="0">
      <sharedItems count="100"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  <s v="ORD021"/>
        <s v="ORD022"/>
        <s v="ORD023"/>
        <s v="ORD024"/>
        <s v="ORD025"/>
        <s v="ORD026"/>
        <s v="ORD027"/>
        <s v="ORD028"/>
        <s v="ORD029"/>
        <s v="ORD030"/>
        <s v="ORD031"/>
        <s v="ORD032"/>
        <s v="ORD033"/>
        <s v="ORD034"/>
        <s v="ORD035"/>
        <s v="ORD036"/>
        <s v="ORD037"/>
        <s v="ORD038"/>
        <s v="ORD039"/>
        <s v="ORD040"/>
        <s v="ORD041"/>
        <s v="ORD042"/>
        <s v="ORD043"/>
        <s v="ORD044"/>
        <s v="ORD045"/>
        <s v="ORD046"/>
        <s v="ORD047"/>
        <s v="ORD048"/>
        <s v="ORD049"/>
        <s v="ORD050"/>
        <s v="ORD051"/>
        <s v="ORD052"/>
        <s v="ORD053"/>
        <s v="ORD054"/>
        <s v="ORD055"/>
        <s v="ORD056"/>
        <s v="ORD057"/>
        <s v="ORD058"/>
        <s v="ORD059"/>
        <s v="ORD060"/>
        <s v="ORD061"/>
        <s v="ORD062"/>
        <s v="ORD063"/>
        <s v="ORD064"/>
        <s v="ORD065"/>
        <s v="ORD066"/>
        <s v="ORD067"/>
        <s v="ORD068"/>
        <s v="ORD069"/>
        <s v="ORD070"/>
        <s v="ORD071"/>
        <s v="ORD072"/>
        <s v="ORD073"/>
        <s v="ORD074"/>
        <s v="ORD075"/>
        <s v="ORD076"/>
        <s v="ORD077"/>
        <s v="ORD078"/>
        <s v="ORD079"/>
        <s v="ORD080"/>
        <s v="ORD081"/>
        <s v="ORD082"/>
        <s v="ORD083"/>
        <s v="ORD084"/>
        <s v="ORD085"/>
        <s v="ORD086"/>
        <s v="ORD087"/>
        <s v="ORD088"/>
        <s v="ORD089"/>
        <s v="ORD090"/>
        <s v="ORD091"/>
        <s v="ORD092"/>
        <s v="ORD093"/>
        <s v="ORD094"/>
        <s v="ORD095"/>
        <s v="ORD096"/>
        <s v="ORD097"/>
        <s v="ORD098"/>
        <s v="ORD099"/>
        <s v="ORD100"/>
      </sharedItems>
    </cacheField>
    <cacheField name="Order Date" numFmtId="0">
      <sharedItems containsSemiMixedTypes="0" containsNonDate="0" containsDate="1" containsString="0" minDate="2026-01-01T00:00:00" maxDate="2026-04-10T00:00:00" count="100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</sharedItems>
    </cacheField>
    <cacheField name="Customer ID" numFmtId="0">
      <sharedItems count="100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  <s v="C051"/>
        <s v="C052"/>
        <s v="C053"/>
        <s v="C054"/>
        <s v="C055"/>
        <s v="C056"/>
        <s v="C057"/>
        <s v="C058"/>
        <s v="C059"/>
        <s v="C060"/>
        <s v="C061"/>
        <s v="C062"/>
        <s v="C063"/>
        <s v="C064"/>
        <s v="C065"/>
        <s v="C066"/>
        <s v="C067"/>
        <s v="C068"/>
        <s v="C069"/>
        <s v="C070"/>
        <s v="C071"/>
        <s v="C072"/>
        <s v="C073"/>
        <s v="C074"/>
        <s v="C075"/>
        <s v="C076"/>
        <s v="C077"/>
        <s v="C078"/>
        <s v="C079"/>
        <s v="C080"/>
        <s v="C081"/>
        <s v="C082"/>
        <s v="C083"/>
        <s v="C084"/>
        <s v="C085"/>
        <s v="C086"/>
        <s v="C087"/>
        <s v="C088"/>
        <s v="C089"/>
        <s v="C090"/>
        <s v="C091"/>
        <s v="C092"/>
        <s v="C093"/>
        <s v="C094"/>
        <s v="C095"/>
        <s v="C096"/>
        <s v="C097"/>
        <s v="C098"/>
        <s v="C099"/>
        <s v="C100"/>
      </sharedItems>
    </cacheField>
    <cacheField name="Customer Name" numFmtId="0">
      <sharedItems count="100">
        <s v="Aarti Singh"/>
        <s v="Abhishek Singh"/>
        <s v="Aditi Sharma"/>
        <s v="Aditya Joshi"/>
        <s v="Aisha Khan"/>
        <s v="Ajay Verma"/>
        <s v="Akash Kumar"/>
        <s v="Akhil Reddy"/>
        <s v="Amit Sharma"/>
        <s v="Ananya Das"/>
        <s v="Anjali Verma"/>
        <s v="Anusha Reddy"/>
        <s v="Arjun Singh"/>
        <s v="Arun Reddy"/>
        <s v="Ashwin Kumar"/>
        <s v="Bhavana Rao"/>
        <s v="Bhavya Sharma"/>
        <s v="Chandan Kumar"/>
        <s v="Chetan Singh"/>
        <s v="Darshan Iyer"/>
        <s v="Deepa Das"/>
        <s v="Deepak Verma"/>
        <s v="Dinesh Patel"/>
        <s v="Divya Rao"/>
        <s v="Divya Sharma"/>
        <s v="Divyansh Sharma"/>
        <s v="Gaurav Mehta"/>
        <s v="Gayathri Gowda"/>
        <s v="Harini Iyer"/>
        <s v="Harish Kumar"/>
        <s v="Harsha Reddy"/>
        <s v="Hemant  Patel"/>
        <s v="Ishita Patel"/>
        <s v="Jeevitha"/>
        <s v="Karthik Nair"/>
        <s v="Kavya Iyer"/>
        <s v="Keerthi Reddy"/>
        <s v="Keshav Mehta"/>
        <s v="Kiran Das"/>
        <s v="Kiran Kumar"/>
        <s v="Komal Gupta"/>
        <s v="Krithi Nair"/>
        <s v="Kunal Sharma"/>
        <s v="Lakshmi Iyer"/>
        <s v="Lokesh Kumar"/>
        <s v="Mahesh Kumar"/>
        <s v="Manish Gupta"/>
        <s v="Manoj Verma"/>
        <s v="Meera Iyer"/>
        <s v="Mohan Krishna"/>
        <s v="Monika Sharma"/>
        <s v="Nandini Rao"/>
        <s v="Naveen Kumar "/>
        <s v="Neelam Verma"/>
        <s v="Neha Patel"/>
        <s v="Nikhil Gowda"/>
        <s v="Nikita Singh"/>
        <s v="Nisha Reddy"/>
        <s v="Nitin Patel"/>
        <s v="Pallavi Rao"/>
        <s v="Pooja Nair"/>
        <s v="Pooja Sharma"/>
        <s v="Poonam Das"/>
        <s v="Prakash Nair"/>
        <s v="Preethi Rao"/>
        <s v="Priya Nair"/>
        <s v="Priyanka Das"/>
        <s v="Rachana Nair"/>
        <s v="Rahul Gupta"/>
        <s v="Rakesh Kumar"/>
        <s v="Ravi Kumar"/>
        <s v="Reshma Nair"/>
        <s v="Ritu Verma"/>
        <s v="Riya Sharma"/>
        <s v="Rohan Mehta"/>
        <s v="Rohit Verma"/>
        <s v="Rohith Jain"/>
        <s v="Sagar Patel"/>
        <s v="Sahana Iyer"/>
        <s v="Sandeep Das"/>
        <s v="Sanjay Patel "/>
        <s v="Shalini Rao"/>
        <s v="Shreya Gupta"/>
        <s v="Shruthi Rao"/>
        <s v="Siddharth Rao"/>
        <s v="Sneha Reddy"/>
        <s v="Snehal  Das"/>
        <s v="Soniya patel"/>
        <s v="Suresh Rao"/>
        <s v="Swathi kumari"/>
        <s v="Tanvi Gupta"/>
        <s v="Tarun Singh"/>
        <s v="Tejas Nair"/>
        <s v="Uday Kumar"/>
        <s v="Vaishnavi Reddy"/>
        <s v="Varun Nair"/>
        <s v="Vikram Singh"/>
        <s v="Vinay Kumar"/>
        <s v="Vivek Jain"/>
        <s v="Yash Mehta"/>
      </sharedItems>
    </cacheField>
    <cacheField name="State" numFmtId="0">
      <sharedItems count="9">
        <s v="Andhra Pradesh"/>
        <s v="Delhi"/>
        <s v="Gujarat"/>
        <s v="Karnataka"/>
        <s v="Kerala"/>
        <s v="Maharashtra"/>
        <s v="Rajasthan"/>
        <s v="TamilNadu"/>
        <s v="Telangana"/>
      </sharedItems>
    </cacheField>
    <cacheField name="Category" numFmtId="0">
      <sharedItems count="3">
        <s v="Clothing"/>
        <s v="Electronics"/>
        <s v="Grocery"/>
      </sharedItems>
    </cacheField>
    <cacheField name="Product" numFmtId="0">
      <sharedItems count="10">
        <s v="Jeans"/>
        <s v="Laptop"/>
        <s v="Printer"/>
        <s v="Rice"/>
        <s v="Shoes"/>
        <s v="Smartphone"/>
        <s v="Smartwatch"/>
        <s v="Sugar"/>
        <s v="T-Shirt"/>
        <s v="Tea Powder"/>
      </sharedItems>
    </cacheField>
    <cacheField name="Salesperson" numFmtId="0">
      <sharedItems count="8">
        <s v="Anjali"/>
        <s v="Arjun"/>
        <s v="Kiran"/>
        <s v="Neha"/>
        <s v="Priya"/>
        <s v="Rahul"/>
        <s v="Rohan"/>
        <s v="Sneha"/>
      </sharedItems>
    </cacheField>
    <cacheField name="Quantity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Unit Price" numFmtId="0">
      <sharedItems containsSemiMixedTypes="0" containsString="0" containsNumber="1" containsInteger="1" minValue="60" maxValue="65000" count="10">
        <n v="60"/>
        <n v="350"/>
        <n v="799"/>
        <n v="1200"/>
        <n v="1999"/>
        <n v="2499"/>
        <n v="5000"/>
        <n v="12000"/>
        <n v="25000"/>
        <n v="65000"/>
      </sharedItems>
    </cacheField>
    <cacheField name="Discount(%)" numFmtId="0">
      <sharedItems containsSemiMixedTypes="0" containsString="0" containsNumber="1" minValue="0" maxValue="0.2" count="7">
        <n v="0"/>
        <n v="0.05"/>
        <n v="0.08"/>
        <n v="0.1"/>
        <n v="0.12"/>
        <n v="0.15"/>
        <n v="0.2"/>
      </sharedItems>
    </cacheField>
    <cacheField name="Sales" numFmtId="0">
      <sharedItems containsSemiMixedTypes="0" containsString="0" containsNumber="1" minValue="300" maxValue="58500" count="10">
        <n v="300"/>
        <n v="1330"/>
        <n v="1358.3"/>
        <n v="3420"/>
        <n v="3598.2"/>
        <n v="3998.4"/>
        <n v="10560"/>
        <n v="13500"/>
        <n v="23000"/>
        <n v="58500"/>
      </sharedItems>
    </cacheField>
    <cacheField name="Profit" numFmtId="0">
      <sharedItems containsSemiMixedTypes="0" containsString="0" containsNumber="1" minValue="24" maxValue="10530" count="10">
        <n v="24"/>
        <n v="199.5"/>
        <n v="339.57499999999999"/>
        <n v="342"/>
        <n v="1079.46"/>
        <n v="1119.5519999999999"/>
        <n v="1584"/>
        <n v="2430"/>
        <n v="3450"/>
        <n v="105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8"/>
    <x v="3"/>
    <x v="1"/>
    <x v="1"/>
    <x v="5"/>
    <x v="0"/>
    <x v="9"/>
    <x v="3"/>
    <x v="9"/>
    <x v="9"/>
  </r>
  <r>
    <x v="1"/>
    <x v="1"/>
    <x v="1"/>
    <x v="65"/>
    <x v="7"/>
    <x v="2"/>
    <x v="3"/>
    <x v="4"/>
    <x v="2"/>
    <x v="3"/>
    <x v="1"/>
    <x v="3"/>
    <x v="3"/>
  </r>
  <r>
    <x v="2"/>
    <x v="2"/>
    <x v="2"/>
    <x v="70"/>
    <x v="4"/>
    <x v="0"/>
    <x v="8"/>
    <x v="1"/>
    <x v="1"/>
    <x v="2"/>
    <x v="5"/>
    <x v="2"/>
    <x v="2"/>
  </r>
  <r>
    <x v="3"/>
    <x v="3"/>
    <x v="3"/>
    <x v="85"/>
    <x v="8"/>
    <x v="1"/>
    <x v="5"/>
    <x v="7"/>
    <x v="0"/>
    <x v="8"/>
    <x v="2"/>
    <x v="8"/>
    <x v="8"/>
  </r>
  <r>
    <x v="4"/>
    <x v="4"/>
    <x v="4"/>
    <x v="12"/>
    <x v="5"/>
    <x v="2"/>
    <x v="7"/>
    <x v="2"/>
    <x v="4"/>
    <x v="0"/>
    <x v="0"/>
    <x v="0"/>
    <x v="0"/>
  </r>
  <r>
    <x v="5"/>
    <x v="5"/>
    <x v="5"/>
    <x v="54"/>
    <x v="3"/>
    <x v="0"/>
    <x v="0"/>
    <x v="3"/>
    <x v="1"/>
    <x v="4"/>
    <x v="3"/>
    <x v="4"/>
    <x v="4"/>
  </r>
  <r>
    <x v="6"/>
    <x v="6"/>
    <x v="6"/>
    <x v="38"/>
    <x v="1"/>
    <x v="1"/>
    <x v="2"/>
    <x v="6"/>
    <x v="0"/>
    <x v="7"/>
    <x v="4"/>
    <x v="6"/>
    <x v="6"/>
  </r>
  <r>
    <x v="7"/>
    <x v="7"/>
    <x v="7"/>
    <x v="10"/>
    <x v="2"/>
    <x v="2"/>
    <x v="9"/>
    <x v="0"/>
    <x v="3"/>
    <x v="1"/>
    <x v="1"/>
    <x v="1"/>
    <x v="1"/>
  </r>
  <r>
    <x v="8"/>
    <x v="8"/>
    <x v="8"/>
    <x v="76"/>
    <x v="6"/>
    <x v="0"/>
    <x v="4"/>
    <x v="5"/>
    <x v="1"/>
    <x v="5"/>
    <x v="6"/>
    <x v="5"/>
    <x v="5"/>
  </r>
  <r>
    <x v="9"/>
    <x v="9"/>
    <x v="9"/>
    <x v="48"/>
    <x v="0"/>
    <x v="1"/>
    <x v="6"/>
    <x v="4"/>
    <x v="2"/>
    <x v="6"/>
    <x v="3"/>
    <x v="7"/>
    <x v="7"/>
  </r>
  <r>
    <x v="10"/>
    <x v="10"/>
    <x v="10"/>
    <x v="6"/>
    <x v="3"/>
    <x v="1"/>
    <x v="1"/>
    <x v="5"/>
    <x v="0"/>
    <x v="9"/>
    <x v="3"/>
    <x v="9"/>
    <x v="9"/>
  </r>
  <r>
    <x v="11"/>
    <x v="11"/>
    <x v="11"/>
    <x v="23"/>
    <x v="7"/>
    <x v="2"/>
    <x v="3"/>
    <x v="4"/>
    <x v="2"/>
    <x v="3"/>
    <x v="1"/>
    <x v="3"/>
    <x v="3"/>
  </r>
  <r>
    <x v="12"/>
    <x v="12"/>
    <x v="12"/>
    <x v="80"/>
    <x v="4"/>
    <x v="0"/>
    <x v="8"/>
    <x v="1"/>
    <x v="1"/>
    <x v="2"/>
    <x v="5"/>
    <x v="2"/>
    <x v="2"/>
  </r>
  <r>
    <x v="13"/>
    <x v="13"/>
    <x v="13"/>
    <x v="61"/>
    <x v="8"/>
    <x v="1"/>
    <x v="5"/>
    <x v="7"/>
    <x v="0"/>
    <x v="8"/>
    <x v="2"/>
    <x v="8"/>
    <x v="8"/>
  </r>
  <r>
    <x v="14"/>
    <x v="14"/>
    <x v="14"/>
    <x v="96"/>
    <x v="5"/>
    <x v="2"/>
    <x v="7"/>
    <x v="2"/>
    <x v="4"/>
    <x v="0"/>
    <x v="0"/>
    <x v="0"/>
    <x v="0"/>
  </r>
  <r>
    <x v="15"/>
    <x v="15"/>
    <x v="15"/>
    <x v="57"/>
    <x v="3"/>
    <x v="0"/>
    <x v="0"/>
    <x v="3"/>
    <x v="1"/>
    <x v="4"/>
    <x v="3"/>
    <x v="4"/>
    <x v="4"/>
  </r>
  <r>
    <x v="16"/>
    <x v="16"/>
    <x v="16"/>
    <x v="34"/>
    <x v="1"/>
    <x v="1"/>
    <x v="2"/>
    <x v="6"/>
    <x v="0"/>
    <x v="7"/>
    <x v="4"/>
    <x v="6"/>
    <x v="6"/>
  </r>
  <r>
    <x v="17"/>
    <x v="17"/>
    <x v="17"/>
    <x v="20"/>
    <x v="2"/>
    <x v="2"/>
    <x v="9"/>
    <x v="0"/>
    <x v="3"/>
    <x v="1"/>
    <x v="1"/>
    <x v="1"/>
    <x v="1"/>
  </r>
  <r>
    <x v="18"/>
    <x v="18"/>
    <x v="18"/>
    <x v="47"/>
    <x v="6"/>
    <x v="0"/>
    <x v="4"/>
    <x v="5"/>
    <x v="1"/>
    <x v="5"/>
    <x v="6"/>
    <x v="5"/>
    <x v="5"/>
  </r>
  <r>
    <x v="19"/>
    <x v="19"/>
    <x v="19"/>
    <x v="4"/>
    <x v="0"/>
    <x v="1"/>
    <x v="6"/>
    <x v="4"/>
    <x v="2"/>
    <x v="6"/>
    <x v="3"/>
    <x v="7"/>
    <x v="7"/>
  </r>
  <r>
    <x v="20"/>
    <x v="20"/>
    <x v="20"/>
    <x v="74"/>
    <x v="3"/>
    <x v="1"/>
    <x v="1"/>
    <x v="5"/>
    <x v="0"/>
    <x v="9"/>
    <x v="3"/>
    <x v="9"/>
    <x v="9"/>
  </r>
  <r>
    <x v="21"/>
    <x v="21"/>
    <x v="21"/>
    <x v="35"/>
    <x v="7"/>
    <x v="2"/>
    <x v="3"/>
    <x v="4"/>
    <x v="2"/>
    <x v="3"/>
    <x v="1"/>
    <x v="3"/>
    <x v="3"/>
  </r>
  <r>
    <x v="22"/>
    <x v="22"/>
    <x v="22"/>
    <x v="3"/>
    <x v="4"/>
    <x v="0"/>
    <x v="8"/>
    <x v="1"/>
    <x v="1"/>
    <x v="2"/>
    <x v="5"/>
    <x v="2"/>
    <x v="2"/>
  </r>
  <r>
    <x v="23"/>
    <x v="23"/>
    <x v="23"/>
    <x v="83"/>
    <x v="8"/>
    <x v="1"/>
    <x v="5"/>
    <x v="7"/>
    <x v="0"/>
    <x v="8"/>
    <x v="2"/>
    <x v="8"/>
    <x v="8"/>
  </r>
  <r>
    <x v="24"/>
    <x v="24"/>
    <x v="24"/>
    <x v="29"/>
    <x v="5"/>
    <x v="2"/>
    <x v="7"/>
    <x v="2"/>
    <x v="4"/>
    <x v="0"/>
    <x v="0"/>
    <x v="0"/>
    <x v="0"/>
  </r>
  <r>
    <x v="25"/>
    <x v="25"/>
    <x v="25"/>
    <x v="60"/>
    <x v="3"/>
    <x v="0"/>
    <x v="0"/>
    <x v="3"/>
    <x v="1"/>
    <x v="4"/>
    <x v="3"/>
    <x v="4"/>
    <x v="4"/>
  </r>
  <r>
    <x v="26"/>
    <x v="26"/>
    <x v="26"/>
    <x v="52"/>
    <x v="1"/>
    <x v="1"/>
    <x v="2"/>
    <x v="6"/>
    <x v="0"/>
    <x v="7"/>
    <x v="4"/>
    <x v="6"/>
    <x v="6"/>
  </r>
  <r>
    <x v="27"/>
    <x v="27"/>
    <x v="27"/>
    <x v="33"/>
    <x v="2"/>
    <x v="2"/>
    <x v="9"/>
    <x v="0"/>
    <x v="3"/>
    <x v="1"/>
    <x v="1"/>
    <x v="1"/>
    <x v="1"/>
  </r>
  <r>
    <x v="28"/>
    <x v="28"/>
    <x v="28"/>
    <x v="79"/>
    <x v="6"/>
    <x v="0"/>
    <x v="4"/>
    <x v="5"/>
    <x v="1"/>
    <x v="5"/>
    <x v="6"/>
    <x v="5"/>
    <x v="5"/>
  </r>
  <r>
    <x v="29"/>
    <x v="29"/>
    <x v="29"/>
    <x v="2"/>
    <x v="0"/>
    <x v="1"/>
    <x v="6"/>
    <x v="4"/>
    <x v="2"/>
    <x v="6"/>
    <x v="3"/>
    <x v="7"/>
    <x v="7"/>
  </r>
  <r>
    <x v="30"/>
    <x v="30"/>
    <x v="30"/>
    <x v="68"/>
    <x v="3"/>
    <x v="1"/>
    <x v="1"/>
    <x v="5"/>
    <x v="0"/>
    <x v="9"/>
    <x v="3"/>
    <x v="9"/>
    <x v="9"/>
  </r>
  <r>
    <x v="31"/>
    <x v="31"/>
    <x v="31"/>
    <x v="89"/>
    <x v="7"/>
    <x v="2"/>
    <x v="3"/>
    <x v="4"/>
    <x v="2"/>
    <x v="3"/>
    <x v="1"/>
    <x v="3"/>
    <x v="3"/>
  </r>
  <r>
    <x v="32"/>
    <x v="32"/>
    <x v="32"/>
    <x v="5"/>
    <x v="4"/>
    <x v="0"/>
    <x v="8"/>
    <x v="1"/>
    <x v="1"/>
    <x v="2"/>
    <x v="5"/>
    <x v="2"/>
    <x v="2"/>
  </r>
  <r>
    <x v="33"/>
    <x v="33"/>
    <x v="33"/>
    <x v="56"/>
    <x v="8"/>
    <x v="1"/>
    <x v="5"/>
    <x v="7"/>
    <x v="0"/>
    <x v="8"/>
    <x v="2"/>
    <x v="8"/>
    <x v="8"/>
  </r>
  <r>
    <x v="34"/>
    <x v="34"/>
    <x v="34"/>
    <x v="95"/>
    <x v="5"/>
    <x v="2"/>
    <x v="7"/>
    <x v="2"/>
    <x v="4"/>
    <x v="0"/>
    <x v="0"/>
    <x v="0"/>
    <x v="0"/>
  </r>
  <r>
    <x v="35"/>
    <x v="35"/>
    <x v="35"/>
    <x v="15"/>
    <x v="3"/>
    <x v="0"/>
    <x v="0"/>
    <x v="3"/>
    <x v="1"/>
    <x v="4"/>
    <x v="3"/>
    <x v="4"/>
    <x v="4"/>
  </r>
  <r>
    <x v="36"/>
    <x v="36"/>
    <x v="36"/>
    <x v="49"/>
    <x v="1"/>
    <x v="1"/>
    <x v="2"/>
    <x v="6"/>
    <x v="0"/>
    <x v="7"/>
    <x v="4"/>
    <x v="6"/>
    <x v="6"/>
  </r>
  <r>
    <x v="37"/>
    <x v="37"/>
    <x v="37"/>
    <x v="36"/>
    <x v="2"/>
    <x v="2"/>
    <x v="9"/>
    <x v="0"/>
    <x v="3"/>
    <x v="1"/>
    <x v="1"/>
    <x v="1"/>
    <x v="1"/>
  </r>
  <r>
    <x v="38"/>
    <x v="38"/>
    <x v="38"/>
    <x v="98"/>
    <x v="6"/>
    <x v="0"/>
    <x v="4"/>
    <x v="5"/>
    <x v="1"/>
    <x v="5"/>
    <x v="6"/>
    <x v="5"/>
    <x v="5"/>
  </r>
  <r>
    <x v="39"/>
    <x v="39"/>
    <x v="39"/>
    <x v="9"/>
    <x v="0"/>
    <x v="1"/>
    <x v="6"/>
    <x v="4"/>
    <x v="2"/>
    <x v="6"/>
    <x v="3"/>
    <x v="7"/>
    <x v="7"/>
  </r>
  <r>
    <x v="40"/>
    <x v="40"/>
    <x v="40"/>
    <x v="42"/>
    <x v="3"/>
    <x v="1"/>
    <x v="1"/>
    <x v="5"/>
    <x v="0"/>
    <x v="9"/>
    <x v="3"/>
    <x v="9"/>
    <x v="9"/>
  </r>
  <r>
    <x v="41"/>
    <x v="41"/>
    <x v="41"/>
    <x v="72"/>
    <x v="7"/>
    <x v="2"/>
    <x v="3"/>
    <x v="4"/>
    <x v="2"/>
    <x v="3"/>
    <x v="1"/>
    <x v="3"/>
    <x v="3"/>
  </r>
  <r>
    <x v="42"/>
    <x v="42"/>
    <x v="42"/>
    <x v="1"/>
    <x v="4"/>
    <x v="0"/>
    <x v="8"/>
    <x v="1"/>
    <x v="1"/>
    <x v="2"/>
    <x v="5"/>
    <x v="2"/>
    <x v="2"/>
  </r>
  <r>
    <x v="43"/>
    <x v="43"/>
    <x v="43"/>
    <x v="43"/>
    <x v="8"/>
    <x v="1"/>
    <x v="5"/>
    <x v="7"/>
    <x v="0"/>
    <x v="8"/>
    <x v="2"/>
    <x v="8"/>
    <x v="8"/>
  </r>
  <r>
    <x v="44"/>
    <x v="44"/>
    <x v="44"/>
    <x v="58"/>
    <x v="5"/>
    <x v="2"/>
    <x v="7"/>
    <x v="2"/>
    <x v="4"/>
    <x v="0"/>
    <x v="0"/>
    <x v="0"/>
    <x v="0"/>
  </r>
  <r>
    <x v="45"/>
    <x v="45"/>
    <x v="45"/>
    <x v="82"/>
    <x v="3"/>
    <x v="0"/>
    <x v="0"/>
    <x v="3"/>
    <x v="1"/>
    <x v="4"/>
    <x v="3"/>
    <x v="4"/>
    <x v="4"/>
  </r>
  <r>
    <x v="46"/>
    <x v="46"/>
    <x v="46"/>
    <x v="14"/>
    <x v="1"/>
    <x v="1"/>
    <x v="2"/>
    <x v="6"/>
    <x v="0"/>
    <x v="7"/>
    <x v="4"/>
    <x v="6"/>
    <x v="6"/>
  </r>
  <r>
    <x v="47"/>
    <x v="47"/>
    <x v="47"/>
    <x v="59"/>
    <x v="2"/>
    <x v="2"/>
    <x v="9"/>
    <x v="0"/>
    <x v="3"/>
    <x v="1"/>
    <x v="1"/>
    <x v="1"/>
    <x v="1"/>
  </r>
  <r>
    <x v="48"/>
    <x v="48"/>
    <x v="48"/>
    <x v="26"/>
    <x v="6"/>
    <x v="0"/>
    <x v="4"/>
    <x v="5"/>
    <x v="1"/>
    <x v="5"/>
    <x v="6"/>
    <x v="5"/>
    <x v="5"/>
  </r>
  <r>
    <x v="49"/>
    <x v="49"/>
    <x v="49"/>
    <x v="71"/>
    <x v="0"/>
    <x v="1"/>
    <x v="6"/>
    <x v="4"/>
    <x v="2"/>
    <x v="6"/>
    <x v="3"/>
    <x v="7"/>
    <x v="7"/>
  </r>
  <r>
    <x v="50"/>
    <x v="50"/>
    <x v="50"/>
    <x v="13"/>
    <x v="3"/>
    <x v="1"/>
    <x v="1"/>
    <x v="5"/>
    <x v="0"/>
    <x v="9"/>
    <x v="3"/>
    <x v="9"/>
    <x v="9"/>
  </r>
  <r>
    <x v="51"/>
    <x v="51"/>
    <x v="51"/>
    <x v="25"/>
    <x v="7"/>
    <x v="2"/>
    <x v="3"/>
    <x v="4"/>
    <x v="2"/>
    <x v="3"/>
    <x v="1"/>
    <x v="3"/>
    <x v="3"/>
  </r>
  <r>
    <x v="52"/>
    <x v="52"/>
    <x v="52"/>
    <x v="78"/>
    <x v="4"/>
    <x v="0"/>
    <x v="8"/>
    <x v="1"/>
    <x v="1"/>
    <x v="2"/>
    <x v="5"/>
    <x v="2"/>
    <x v="2"/>
  </r>
  <r>
    <x v="53"/>
    <x v="53"/>
    <x v="53"/>
    <x v="75"/>
    <x v="8"/>
    <x v="1"/>
    <x v="5"/>
    <x v="7"/>
    <x v="0"/>
    <x v="8"/>
    <x v="2"/>
    <x v="8"/>
    <x v="8"/>
  </r>
  <r>
    <x v="54"/>
    <x v="54"/>
    <x v="54"/>
    <x v="32"/>
    <x v="5"/>
    <x v="2"/>
    <x v="7"/>
    <x v="2"/>
    <x v="4"/>
    <x v="0"/>
    <x v="0"/>
    <x v="0"/>
    <x v="0"/>
  </r>
  <r>
    <x v="55"/>
    <x v="55"/>
    <x v="55"/>
    <x v="39"/>
    <x v="3"/>
    <x v="0"/>
    <x v="0"/>
    <x v="3"/>
    <x v="1"/>
    <x v="4"/>
    <x v="3"/>
    <x v="4"/>
    <x v="4"/>
  </r>
  <r>
    <x v="56"/>
    <x v="56"/>
    <x v="56"/>
    <x v="86"/>
    <x v="1"/>
    <x v="1"/>
    <x v="2"/>
    <x v="6"/>
    <x v="0"/>
    <x v="7"/>
    <x v="4"/>
    <x v="6"/>
    <x v="6"/>
  </r>
  <r>
    <x v="57"/>
    <x v="57"/>
    <x v="57"/>
    <x v="91"/>
    <x v="2"/>
    <x v="2"/>
    <x v="9"/>
    <x v="0"/>
    <x v="3"/>
    <x v="1"/>
    <x v="1"/>
    <x v="1"/>
    <x v="1"/>
  </r>
  <r>
    <x v="58"/>
    <x v="58"/>
    <x v="58"/>
    <x v="51"/>
    <x v="6"/>
    <x v="0"/>
    <x v="4"/>
    <x v="5"/>
    <x v="1"/>
    <x v="5"/>
    <x v="6"/>
    <x v="5"/>
    <x v="5"/>
  </r>
  <r>
    <x v="59"/>
    <x v="59"/>
    <x v="59"/>
    <x v="46"/>
    <x v="0"/>
    <x v="1"/>
    <x v="6"/>
    <x v="4"/>
    <x v="2"/>
    <x v="6"/>
    <x v="3"/>
    <x v="7"/>
    <x v="7"/>
  </r>
  <r>
    <x v="60"/>
    <x v="60"/>
    <x v="60"/>
    <x v="17"/>
    <x v="3"/>
    <x v="1"/>
    <x v="1"/>
    <x v="5"/>
    <x v="0"/>
    <x v="9"/>
    <x v="3"/>
    <x v="9"/>
    <x v="9"/>
  </r>
  <r>
    <x v="61"/>
    <x v="61"/>
    <x v="61"/>
    <x v="67"/>
    <x v="7"/>
    <x v="2"/>
    <x v="3"/>
    <x v="4"/>
    <x v="2"/>
    <x v="3"/>
    <x v="1"/>
    <x v="3"/>
    <x v="3"/>
  </r>
  <r>
    <x v="62"/>
    <x v="62"/>
    <x v="62"/>
    <x v="7"/>
    <x v="4"/>
    <x v="0"/>
    <x v="8"/>
    <x v="1"/>
    <x v="1"/>
    <x v="2"/>
    <x v="5"/>
    <x v="2"/>
    <x v="2"/>
  </r>
  <r>
    <x v="63"/>
    <x v="63"/>
    <x v="63"/>
    <x v="50"/>
    <x v="8"/>
    <x v="1"/>
    <x v="5"/>
    <x v="7"/>
    <x v="0"/>
    <x v="8"/>
    <x v="2"/>
    <x v="8"/>
    <x v="8"/>
  </r>
  <r>
    <x v="64"/>
    <x v="64"/>
    <x v="64"/>
    <x v="77"/>
    <x v="5"/>
    <x v="2"/>
    <x v="7"/>
    <x v="2"/>
    <x v="4"/>
    <x v="0"/>
    <x v="0"/>
    <x v="0"/>
    <x v="0"/>
  </r>
  <r>
    <x v="65"/>
    <x v="65"/>
    <x v="65"/>
    <x v="28"/>
    <x v="3"/>
    <x v="0"/>
    <x v="0"/>
    <x v="3"/>
    <x v="1"/>
    <x v="4"/>
    <x v="3"/>
    <x v="4"/>
    <x v="4"/>
  </r>
  <r>
    <x v="66"/>
    <x v="66"/>
    <x v="66"/>
    <x v="21"/>
    <x v="1"/>
    <x v="1"/>
    <x v="2"/>
    <x v="6"/>
    <x v="0"/>
    <x v="7"/>
    <x v="4"/>
    <x v="6"/>
    <x v="6"/>
  </r>
  <r>
    <x v="67"/>
    <x v="67"/>
    <x v="67"/>
    <x v="64"/>
    <x v="2"/>
    <x v="2"/>
    <x v="9"/>
    <x v="0"/>
    <x v="3"/>
    <x v="1"/>
    <x v="1"/>
    <x v="1"/>
    <x v="1"/>
  </r>
  <r>
    <x v="68"/>
    <x v="68"/>
    <x v="68"/>
    <x v="97"/>
    <x v="6"/>
    <x v="0"/>
    <x v="4"/>
    <x v="5"/>
    <x v="1"/>
    <x v="5"/>
    <x v="6"/>
    <x v="5"/>
    <x v="5"/>
  </r>
  <r>
    <x v="69"/>
    <x v="69"/>
    <x v="69"/>
    <x v="0"/>
    <x v="0"/>
    <x v="1"/>
    <x v="6"/>
    <x v="4"/>
    <x v="2"/>
    <x v="6"/>
    <x v="3"/>
    <x v="7"/>
    <x v="7"/>
  </r>
  <r>
    <x v="70"/>
    <x v="70"/>
    <x v="70"/>
    <x v="99"/>
    <x v="3"/>
    <x v="1"/>
    <x v="1"/>
    <x v="5"/>
    <x v="0"/>
    <x v="9"/>
    <x v="3"/>
    <x v="9"/>
    <x v="9"/>
  </r>
  <r>
    <x v="71"/>
    <x v="71"/>
    <x v="71"/>
    <x v="66"/>
    <x v="7"/>
    <x v="2"/>
    <x v="3"/>
    <x v="4"/>
    <x v="2"/>
    <x v="3"/>
    <x v="1"/>
    <x v="3"/>
    <x v="3"/>
  </r>
  <r>
    <x v="72"/>
    <x v="72"/>
    <x v="72"/>
    <x v="92"/>
    <x v="4"/>
    <x v="0"/>
    <x v="8"/>
    <x v="1"/>
    <x v="1"/>
    <x v="2"/>
    <x v="5"/>
    <x v="2"/>
    <x v="2"/>
  </r>
  <r>
    <x v="73"/>
    <x v="73"/>
    <x v="73"/>
    <x v="40"/>
    <x v="8"/>
    <x v="1"/>
    <x v="5"/>
    <x v="7"/>
    <x v="0"/>
    <x v="8"/>
    <x v="2"/>
    <x v="8"/>
    <x v="8"/>
  </r>
  <r>
    <x v="74"/>
    <x v="74"/>
    <x v="74"/>
    <x v="84"/>
    <x v="5"/>
    <x v="2"/>
    <x v="7"/>
    <x v="2"/>
    <x v="4"/>
    <x v="0"/>
    <x v="0"/>
    <x v="0"/>
    <x v="0"/>
  </r>
  <r>
    <x v="75"/>
    <x v="75"/>
    <x v="75"/>
    <x v="16"/>
    <x v="3"/>
    <x v="0"/>
    <x v="0"/>
    <x v="3"/>
    <x v="1"/>
    <x v="4"/>
    <x v="3"/>
    <x v="4"/>
    <x v="4"/>
  </r>
  <r>
    <x v="76"/>
    <x v="76"/>
    <x v="76"/>
    <x v="31"/>
    <x v="1"/>
    <x v="1"/>
    <x v="2"/>
    <x v="6"/>
    <x v="0"/>
    <x v="7"/>
    <x v="4"/>
    <x v="6"/>
    <x v="6"/>
  </r>
  <r>
    <x v="77"/>
    <x v="77"/>
    <x v="77"/>
    <x v="11"/>
    <x v="2"/>
    <x v="2"/>
    <x v="9"/>
    <x v="0"/>
    <x v="3"/>
    <x v="1"/>
    <x v="1"/>
    <x v="1"/>
    <x v="1"/>
  </r>
  <r>
    <x v="78"/>
    <x v="78"/>
    <x v="78"/>
    <x v="69"/>
    <x v="6"/>
    <x v="0"/>
    <x v="4"/>
    <x v="5"/>
    <x v="1"/>
    <x v="5"/>
    <x v="6"/>
    <x v="5"/>
    <x v="5"/>
  </r>
  <r>
    <x v="79"/>
    <x v="79"/>
    <x v="79"/>
    <x v="53"/>
    <x v="0"/>
    <x v="1"/>
    <x v="6"/>
    <x v="4"/>
    <x v="2"/>
    <x v="6"/>
    <x v="3"/>
    <x v="7"/>
    <x v="7"/>
  </r>
  <r>
    <x v="80"/>
    <x v="80"/>
    <x v="80"/>
    <x v="19"/>
    <x v="3"/>
    <x v="1"/>
    <x v="1"/>
    <x v="5"/>
    <x v="0"/>
    <x v="9"/>
    <x v="3"/>
    <x v="9"/>
    <x v="9"/>
  </r>
  <r>
    <x v="81"/>
    <x v="81"/>
    <x v="81"/>
    <x v="41"/>
    <x v="7"/>
    <x v="2"/>
    <x v="3"/>
    <x v="4"/>
    <x v="2"/>
    <x v="3"/>
    <x v="1"/>
    <x v="3"/>
    <x v="3"/>
  </r>
  <r>
    <x v="82"/>
    <x v="82"/>
    <x v="82"/>
    <x v="88"/>
    <x v="4"/>
    <x v="0"/>
    <x v="8"/>
    <x v="1"/>
    <x v="1"/>
    <x v="2"/>
    <x v="5"/>
    <x v="2"/>
    <x v="2"/>
  </r>
  <r>
    <x v="83"/>
    <x v="83"/>
    <x v="83"/>
    <x v="73"/>
    <x v="8"/>
    <x v="1"/>
    <x v="5"/>
    <x v="7"/>
    <x v="0"/>
    <x v="8"/>
    <x v="2"/>
    <x v="8"/>
    <x v="8"/>
  </r>
  <r>
    <x v="84"/>
    <x v="84"/>
    <x v="84"/>
    <x v="22"/>
    <x v="5"/>
    <x v="2"/>
    <x v="7"/>
    <x v="2"/>
    <x v="4"/>
    <x v="0"/>
    <x v="0"/>
    <x v="0"/>
    <x v="0"/>
  </r>
  <r>
    <x v="85"/>
    <x v="85"/>
    <x v="85"/>
    <x v="90"/>
    <x v="3"/>
    <x v="0"/>
    <x v="0"/>
    <x v="3"/>
    <x v="1"/>
    <x v="4"/>
    <x v="3"/>
    <x v="4"/>
    <x v="4"/>
  </r>
  <r>
    <x v="86"/>
    <x v="86"/>
    <x v="86"/>
    <x v="45"/>
    <x v="1"/>
    <x v="1"/>
    <x v="2"/>
    <x v="6"/>
    <x v="0"/>
    <x v="7"/>
    <x v="4"/>
    <x v="6"/>
    <x v="6"/>
  </r>
  <r>
    <x v="87"/>
    <x v="87"/>
    <x v="87"/>
    <x v="94"/>
    <x v="2"/>
    <x v="2"/>
    <x v="9"/>
    <x v="0"/>
    <x v="3"/>
    <x v="1"/>
    <x v="1"/>
    <x v="1"/>
    <x v="1"/>
  </r>
  <r>
    <x v="88"/>
    <x v="88"/>
    <x v="88"/>
    <x v="18"/>
    <x v="6"/>
    <x v="0"/>
    <x v="4"/>
    <x v="5"/>
    <x v="1"/>
    <x v="5"/>
    <x v="6"/>
    <x v="5"/>
    <x v="5"/>
  </r>
  <r>
    <x v="89"/>
    <x v="89"/>
    <x v="89"/>
    <x v="62"/>
    <x v="0"/>
    <x v="1"/>
    <x v="6"/>
    <x v="4"/>
    <x v="2"/>
    <x v="6"/>
    <x v="3"/>
    <x v="7"/>
    <x v="7"/>
  </r>
  <r>
    <x v="90"/>
    <x v="90"/>
    <x v="90"/>
    <x v="63"/>
    <x v="3"/>
    <x v="1"/>
    <x v="1"/>
    <x v="5"/>
    <x v="0"/>
    <x v="9"/>
    <x v="3"/>
    <x v="9"/>
    <x v="9"/>
  </r>
  <r>
    <x v="91"/>
    <x v="91"/>
    <x v="91"/>
    <x v="81"/>
    <x v="7"/>
    <x v="2"/>
    <x v="3"/>
    <x v="4"/>
    <x v="2"/>
    <x v="3"/>
    <x v="1"/>
    <x v="3"/>
    <x v="3"/>
  </r>
  <r>
    <x v="92"/>
    <x v="92"/>
    <x v="92"/>
    <x v="55"/>
    <x v="4"/>
    <x v="0"/>
    <x v="8"/>
    <x v="1"/>
    <x v="1"/>
    <x v="2"/>
    <x v="5"/>
    <x v="2"/>
    <x v="2"/>
  </r>
  <r>
    <x v="93"/>
    <x v="93"/>
    <x v="93"/>
    <x v="27"/>
    <x v="8"/>
    <x v="1"/>
    <x v="5"/>
    <x v="7"/>
    <x v="0"/>
    <x v="8"/>
    <x v="2"/>
    <x v="8"/>
    <x v="8"/>
  </r>
  <r>
    <x v="94"/>
    <x v="94"/>
    <x v="94"/>
    <x v="44"/>
    <x v="5"/>
    <x v="2"/>
    <x v="7"/>
    <x v="2"/>
    <x v="4"/>
    <x v="0"/>
    <x v="0"/>
    <x v="0"/>
    <x v="0"/>
  </r>
  <r>
    <x v="95"/>
    <x v="95"/>
    <x v="95"/>
    <x v="87"/>
    <x v="3"/>
    <x v="0"/>
    <x v="0"/>
    <x v="3"/>
    <x v="1"/>
    <x v="4"/>
    <x v="3"/>
    <x v="4"/>
    <x v="4"/>
  </r>
  <r>
    <x v="96"/>
    <x v="96"/>
    <x v="96"/>
    <x v="93"/>
    <x v="1"/>
    <x v="1"/>
    <x v="2"/>
    <x v="6"/>
    <x v="0"/>
    <x v="7"/>
    <x v="4"/>
    <x v="6"/>
    <x v="6"/>
  </r>
  <r>
    <x v="97"/>
    <x v="97"/>
    <x v="97"/>
    <x v="30"/>
    <x v="2"/>
    <x v="2"/>
    <x v="9"/>
    <x v="0"/>
    <x v="3"/>
    <x v="1"/>
    <x v="1"/>
    <x v="1"/>
    <x v="1"/>
  </r>
  <r>
    <x v="98"/>
    <x v="98"/>
    <x v="98"/>
    <x v="37"/>
    <x v="6"/>
    <x v="0"/>
    <x v="4"/>
    <x v="5"/>
    <x v="1"/>
    <x v="5"/>
    <x v="6"/>
    <x v="5"/>
    <x v="5"/>
  </r>
  <r>
    <x v="99"/>
    <x v="99"/>
    <x v="99"/>
    <x v="24"/>
    <x v="0"/>
    <x v="1"/>
    <x v="6"/>
    <x v="4"/>
    <x v="2"/>
    <x v="6"/>
    <x v="3"/>
    <x v="7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02983-4871-4F01-B014-484105E38412}" name="PivotTable5" cacheId="0" applyNumberFormats="0" applyBorderFormats="0" applyFontFormats="0" applyPatternFormats="0" applyAlignmentFormats="0" applyWidthHeightFormats="0" dataCaption="Values" showDrill="0" itemPrintTitles="1" indent="0" compact="0" compactData="0">
  <location ref="A1:B12" firstHeaderRow="1" firstDataRow="1" firstDataCol="1"/>
  <pivotFields count="13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- Quantity" fld="8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B7239-4185-4476-BEF7-4B9E3B2B8017}" name="PivotTable6" cacheId="0" applyNumberFormats="0" applyBorderFormats="0" applyFontFormats="0" applyPatternFormats="0" applyAlignmentFormats="0" applyWidthHeightFormats="0" dataCaption="Values" showDrill="0" itemPrintTitles="1" indent="0" compact="0" compactData="0">
  <location ref="A1:B10" firstHeaderRow="1" firstDataRow="1" firstDataCol="1"/>
  <pivotFields count="13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compact="0" showAll="0"/>
    <pivotField compact="0" showAll="0"/>
    <pivotField compact="0" showAll="0"/>
    <pivotField dataField="1" compact="0" outline="0" showAll="0"/>
    <pivotField compact="0"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- Sales" fld="1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DC42-A304-4F70-B816-6A1EF6FD2B67}" name="PivotTable7" cacheId="0" applyNumberFormats="0" applyBorderFormats="0" applyFontFormats="0" applyPatternFormats="0" applyAlignmentFormats="0" applyWidthHeightFormats="0" dataCaption="Values" showDrill="0" itemPrintTitles="1" indent="0" compact="0" compactData="0">
  <location ref="A1:B11" firstHeaderRow="1" firstDataRow="1" firstDataCol="1"/>
  <pivotFields count="13">
    <pivotField compact="0" showAll="0"/>
    <pivotField compact="0" showAll="0"/>
    <pivotField compact="0" showAll="0"/>
    <pivotField compact="0" showAll="0"/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- Profit" fld="12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FF4E2-7B29-4CD5-B1AC-5DFFDA8EC2E9}" name="PivotTable8" cacheId="0" applyNumberFormats="0" applyBorderFormats="0" applyFontFormats="0" applyPatternFormats="0" applyAlignmentFormats="0" applyWidthHeightFormats="0" dataCaption="Values" showDrill="0" itemPrintTitles="1" indent="0" compact="0" compactData="0">
  <location ref="A1:B5" firstHeaderRow="1" firstDataRow="1" firstDataCol="1"/>
  <pivotFields count="13"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compact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- Sales" fld="1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85EA48-8034-4F52-AC34-9A789EF21C01}" name="Sales_Data" displayName="Sales_Data" ref="A1:M101" totalsRowShown="0" headerRowDxfId="3">
  <autoFilter ref="A1:M101" xr:uid="{4485EA48-8034-4F52-AC34-9A789EF21C01}"/>
  <tableColumns count="13">
    <tableColumn id="1" xr3:uid="{5B31A4FC-7426-4E90-BD18-06552FEE661F}" name="Order ID"/>
    <tableColumn id="2" xr3:uid="{E1AD99F2-A270-4AC1-90C7-E73044F6B3C4}" name="Order Date" dataDxfId="2"/>
    <tableColumn id="3" xr3:uid="{5263CD2A-ED2E-4533-B707-9F9F8A1E4263}" name="Customer ID"/>
    <tableColumn id="4" xr3:uid="{AB45DED8-4413-461C-8ED1-2BE35B1BA44B}" name="Customer Name">
      <calculatedColumnFormula>_xlfn.XLOOKUP(C2,Lookup!M2:M11,Lookup!N2:N11,"Not Found")</calculatedColumnFormula>
    </tableColumn>
    <tableColumn id="5" xr3:uid="{8AE7606A-D371-4B6E-BA64-2C64FFFD396D}" name="State"/>
    <tableColumn id="6" xr3:uid="{E061A7F3-CE46-4D3A-AC42-1584AE0F0FAB}" name="Category"/>
    <tableColumn id="7" xr3:uid="{686A8204-E936-4021-9EE7-B46C5909EF0B}" name="Product"/>
    <tableColumn id="8" xr3:uid="{DA6219B8-1035-4E2A-AA7B-E60DA0BD5139}" name="Salesperson"/>
    <tableColumn id="9" xr3:uid="{33058CD1-ECB1-4A0E-8D35-760F4DA8AD89}" name="Quantity"/>
    <tableColumn id="10" xr3:uid="{5723AB36-749D-4AC2-9D33-3C787CC89BF7}" name="Unit Price">
      <calculatedColumnFormula>_xlfn.XLOOKUP(G2,Lookup!$B:$B,Lookup!$C:$C,"Not Found")</calculatedColumnFormula>
    </tableColumn>
    <tableColumn id="11" xr3:uid="{E799F936-FB4D-4402-80B2-40C4DF7D642B}" name="Discount(%)" dataDxfId="1"/>
    <tableColumn id="12" xr3:uid="{F06543BD-FBCD-48C2-B1CD-150233A9377D}" name="Sales">
      <calculatedColumnFormula>I2*J2*(1-K2)</calculatedColumnFormula>
    </tableColumn>
    <tableColumn id="13" xr3:uid="{1D8E51BC-DF05-49A9-96B4-3A640F7F3C0E}" name="Profit">
      <calculatedColumnFormula>L2*_xlfn.XLOOKUP(G2,Lookup!$B:$B,Lookup!$D:$D)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BA9A22-B3E2-4FB1-A7A5-E0A19250E30E}" name="Product_Master" displayName="Product_Master" ref="A1:D16" totalsRowShown="0">
  <autoFilter ref="A1:D16" xr:uid="{25BA9A22-B3E2-4FB1-A7A5-E0A19250E30E}"/>
  <tableColumns count="4">
    <tableColumn id="1" xr3:uid="{743E6F13-0980-4404-BBD9-B19A1D967C28}" name="Category"/>
    <tableColumn id="2" xr3:uid="{F51E95AA-6517-41B9-AAE3-25AFA729DAEB}" name="Product"/>
    <tableColumn id="3" xr3:uid="{D55CCA58-2F11-4A18-8563-060154E719F0}" name="Unit Price"/>
    <tableColumn id="4" xr3:uid="{6F324630-464D-4F86-9C53-42F455BA7588}" name="Profit (%)" dataDxfId="0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72F56B-ABD9-486F-A296-A4207AFED408}" name="State_Master" displayName="State_Master" ref="G1:G11" totalsRowShown="0">
  <autoFilter ref="G1:G11" xr:uid="{FF72F56B-ABD9-486F-A296-A4207AFED408}"/>
  <tableColumns count="1">
    <tableColumn id="1" xr3:uid="{B2CAC069-4F31-4127-B7A5-4F3967ED62FE}" name="State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78BDBE-9AA4-487B-A588-3C47FF912C85}" name="Salesperson_Master" displayName="Salesperson_Master" ref="J1:J9" totalsRowShown="0">
  <autoFilter ref="J1:J9" xr:uid="{C978BDBE-9AA4-487B-A588-3C47FF912C85}"/>
  <tableColumns count="1">
    <tableColumn id="1" xr3:uid="{F7110E8B-1FA9-42F4-B10A-16F5AAA84811}" name="Salesperson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01D180-B264-44EE-96E9-110F43097AA9}" name="Customer_Master" displayName="Customer_Master" ref="M1:N101" totalsRowShown="0">
  <autoFilter ref="M1:N101" xr:uid="{7401D180-B264-44EE-96E9-110F43097AA9}"/>
  <tableColumns count="2">
    <tableColumn id="1" xr3:uid="{1863769F-F5C8-4AFC-923F-4404A9C1CFBE}" name="Customer ID"/>
    <tableColumn id="2" xr3:uid="{3E79B3B6-BDC1-4A67-A76D-291A4C7020AC}" name="Customer Nam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D831-30A1-4D6C-BA6F-D2D37F011049}">
  <dimension ref="A1:M101"/>
  <sheetViews>
    <sheetView topLeftCell="A10" workbookViewId="0">
      <selection activeCell="O58" sqref="O58"/>
    </sheetView>
  </sheetViews>
  <sheetFormatPr defaultRowHeight="14.4" x14ac:dyDescent="0.3"/>
  <cols>
    <col min="1" max="1" width="9" customWidth="1"/>
    <col min="2" max="2" width="10.88671875" customWidth="1"/>
    <col min="3" max="3" width="12" customWidth="1"/>
    <col min="4" max="4" width="14.88671875" customWidth="1"/>
    <col min="5" max="5" width="12.109375" customWidth="1"/>
    <col min="6" max="7" width="9.44140625" customWidth="1"/>
    <col min="8" max="8" width="11.77734375" customWidth="1"/>
    <col min="9" max="9" width="9" customWidth="1"/>
    <col min="10" max="10" width="11.44140625" customWidth="1"/>
    <col min="11" max="11" width="11.77734375" customWidth="1"/>
  </cols>
  <sheetData>
    <row r="1" spans="1:13" x14ac:dyDescent="0.3">
      <c r="A1" t="s">
        <v>0</v>
      </c>
      <c r="B1" t="s">
        <v>1</v>
      </c>
      <c r="C1" s="1" t="s">
        <v>2</v>
      </c>
      <c r="D1" t="s">
        <v>8</v>
      </c>
      <c r="E1" s="1" t="s">
        <v>3</v>
      </c>
      <c r="F1" s="1" t="s">
        <v>9</v>
      </c>
      <c r="G1" s="1" t="s">
        <v>10</v>
      </c>
      <c r="H1" s="1" t="s">
        <v>7</v>
      </c>
      <c r="I1" s="1" t="s">
        <v>11</v>
      </c>
      <c r="J1" s="1" t="s">
        <v>12</v>
      </c>
      <c r="K1" s="1" t="s">
        <v>4</v>
      </c>
      <c r="L1" s="1" t="s">
        <v>5</v>
      </c>
      <c r="M1" s="1" t="s">
        <v>6</v>
      </c>
    </row>
    <row r="2" spans="1:13" x14ac:dyDescent="0.3">
      <c r="A2" t="s">
        <v>71</v>
      </c>
      <c r="B2" s="3">
        <v>46023</v>
      </c>
      <c r="C2" t="s">
        <v>50</v>
      </c>
      <c r="D2" t="str">
        <f>_xlfn.XLOOKUP(C2,Lookup!M2:M11,Lookup!N2:N11,"Not Found")</f>
        <v>Amit Sharma</v>
      </c>
      <c r="E2" t="s">
        <v>32</v>
      </c>
      <c r="F2" t="s">
        <v>13</v>
      </c>
      <c r="G2" t="s">
        <v>16</v>
      </c>
      <c r="H2" t="s">
        <v>42</v>
      </c>
      <c r="I2">
        <v>1</v>
      </c>
      <c r="J2">
        <f>_xlfn.XLOOKUP(G2,Lookup!$B:$B,Lookup!$C:$C,"Not Found")</f>
        <v>65000</v>
      </c>
      <c r="K2" s="2">
        <v>0.1</v>
      </c>
      <c r="L2">
        <f>I2*J2*(1-K2)</f>
        <v>58500</v>
      </c>
      <c r="M2">
        <f>L2*_xlfn.XLOOKUP(G2,Lookup!$B:$B,Lookup!$D:$D)</f>
        <v>10530</v>
      </c>
    </row>
    <row r="3" spans="1:13" x14ac:dyDescent="0.3">
      <c r="A3" t="s">
        <v>72</v>
      </c>
      <c r="B3" s="3">
        <v>46024</v>
      </c>
      <c r="C3" t="s">
        <v>51</v>
      </c>
      <c r="D3" t="str">
        <f>_xlfn.XLOOKUP(C3,Lookup!M3:M12,Lookup!N3:N12,"Not Found")</f>
        <v>Priya Nair</v>
      </c>
      <c r="E3" t="s">
        <v>81</v>
      </c>
      <c r="F3" t="s">
        <v>14</v>
      </c>
      <c r="G3" s="1" t="s">
        <v>21</v>
      </c>
      <c r="H3" t="s">
        <v>43</v>
      </c>
      <c r="I3">
        <v>3</v>
      </c>
      <c r="J3">
        <f>_xlfn.XLOOKUP(G3,Lookup!$B:$B,Lookup!$C:$C,"Not Found")</f>
        <v>1200</v>
      </c>
      <c r="K3" s="2">
        <v>0.05</v>
      </c>
      <c r="L3">
        <f t="shared" ref="L3:L11" si="0">I3*J3*(1-K3)</f>
        <v>3420</v>
      </c>
      <c r="M3">
        <f>L3*_xlfn.XLOOKUP(G3,Lookup!$B:$B,Lookup!$D:$D)</f>
        <v>342</v>
      </c>
    </row>
    <row r="4" spans="1:13" x14ac:dyDescent="0.3">
      <c r="A4" t="s">
        <v>73</v>
      </c>
      <c r="B4" s="3">
        <v>46025</v>
      </c>
      <c r="C4" t="s">
        <v>52</v>
      </c>
      <c r="D4" t="str">
        <f>_xlfn.XLOOKUP(C4,Lookup!M4:M13,Lookup!N4:N13,"Not Found")</f>
        <v>Ravi Kumar</v>
      </c>
      <c r="E4" t="s">
        <v>34</v>
      </c>
      <c r="F4" t="s">
        <v>15</v>
      </c>
      <c r="G4" t="s">
        <v>26</v>
      </c>
      <c r="H4" t="s">
        <v>44</v>
      </c>
      <c r="I4">
        <v>2</v>
      </c>
      <c r="J4">
        <f>_xlfn.XLOOKUP(G4,Lookup!$B:$B,Lookup!$C:$C,"Not Found")</f>
        <v>799</v>
      </c>
      <c r="K4" s="2">
        <v>0.15</v>
      </c>
      <c r="L4">
        <f t="shared" si="0"/>
        <v>1358.3</v>
      </c>
      <c r="M4">
        <f>L4*_xlfn.XLOOKUP(G4,Lookup!$B:$B,Lookup!$D:$D)</f>
        <v>339.57499999999999</v>
      </c>
    </row>
    <row r="5" spans="1:13" x14ac:dyDescent="0.3">
      <c r="A5" t="s">
        <v>74</v>
      </c>
      <c r="B5" s="3">
        <v>46026</v>
      </c>
      <c r="C5" t="s">
        <v>53</v>
      </c>
      <c r="D5" t="str">
        <f>_xlfn.XLOOKUP(C5,Lookup!M5:M14,Lookup!N5:N14,"Not Found")</f>
        <v>Sneha Reddy</v>
      </c>
      <c r="E5" t="s">
        <v>36</v>
      </c>
      <c r="F5" t="s">
        <v>13</v>
      </c>
      <c r="G5" t="s">
        <v>17</v>
      </c>
      <c r="H5" t="s">
        <v>45</v>
      </c>
      <c r="I5">
        <v>1</v>
      </c>
      <c r="J5">
        <f>_xlfn.XLOOKUP(G5,Lookup!$B:$B,Lookup!$C:$C,"Not Found")</f>
        <v>25000</v>
      </c>
      <c r="K5" s="2">
        <v>0.08</v>
      </c>
      <c r="L5">
        <f t="shared" si="0"/>
        <v>23000</v>
      </c>
      <c r="M5">
        <f>L5*_xlfn.XLOOKUP(G5,Lookup!$B:$B,Lookup!$D:$D)</f>
        <v>3450</v>
      </c>
    </row>
    <row r="6" spans="1:13" x14ac:dyDescent="0.3">
      <c r="A6" t="s">
        <v>75</v>
      </c>
      <c r="B6" s="3">
        <v>46027</v>
      </c>
      <c r="C6" t="s">
        <v>54</v>
      </c>
      <c r="D6" t="str">
        <f>_xlfn.XLOOKUP(C6,Lookup!M6:M15,Lookup!N6:N15,"Not Found")</f>
        <v>Arjun Singh</v>
      </c>
      <c r="E6" t="s">
        <v>37</v>
      </c>
      <c r="F6" t="s">
        <v>14</v>
      </c>
      <c r="G6" t="s">
        <v>22</v>
      </c>
      <c r="H6" t="s">
        <v>46</v>
      </c>
      <c r="I6">
        <v>5</v>
      </c>
      <c r="J6">
        <f>_xlfn.XLOOKUP(G6,Lookup!$B:$B,Lookup!$C:$C,"Not Found")</f>
        <v>60</v>
      </c>
      <c r="K6" s="2">
        <v>0</v>
      </c>
      <c r="L6">
        <f t="shared" si="0"/>
        <v>300</v>
      </c>
      <c r="M6">
        <f>L6*_xlfn.XLOOKUP(G6,Lookup!$B:$B,Lookup!$D:$D)</f>
        <v>24</v>
      </c>
    </row>
    <row r="7" spans="1:13" x14ac:dyDescent="0.3">
      <c r="A7" t="s">
        <v>76</v>
      </c>
      <c r="B7" s="3">
        <v>46028</v>
      </c>
      <c r="C7" t="s">
        <v>55</v>
      </c>
      <c r="D7" t="str">
        <f>_xlfn.XLOOKUP(C7,Lookup!M7:M16,Lookup!N7:N16,"Not Found")</f>
        <v>Neha Patel</v>
      </c>
      <c r="E7" t="s">
        <v>32</v>
      </c>
      <c r="F7" t="s">
        <v>15</v>
      </c>
      <c r="G7" t="s">
        <v>27</v>
      </c>
      <c r="H7" t="s">
        <v>47</v>
      </c>
      <c r="I7">
        <v>2</v>
      </c>
      <c r="J7">
        <f>_xlfn.XLOOKUP(G7,Lookup!$B:$B,Lookup!$C:$C,"Not Found")</f>
        <v>1999</v>
      </c>
      <c r="K7" s="2">
        <v>0.1</v>
      </c>
      <c r="L7">
        <f t="shared" si="0"/>
        <v>3598.2000000000003</v>
      </c>
      <c r="M7">
        <f>L7*_xlfn.XLOOKUP(G7,Lookup!$B:$B,Lookup!$D:$D)</f>
        <v>1079.46</v>
      </c>
    </row>
    <row r="8" spans="1:13" x14ac:dyDescent="0.3">
      <c r="A8" t="s">
        <v>77</v>
      </c>
      <c r="B8" s="3">
        <v>46029</v>
      </c>
      <c r="C8" t="s">
        <v>56</v>
      </c>
      <c r="D8" t="str">
        <f>_xlfn.XLOOKUP(C8,Lookup!M8:M17,Lookup!N8:N17,"Not Found")</f>
        <v>Kiran Das</v>
      </c>
      <c r="E8" t="s">
        <v>38</v>
      </c>
      <c r="F8" t="s">
        <v>13</v>
      </c>
      <c r="G8" t="s">
        <v>20</v>
      </c>
      <c r="H8" t="s">
        <v>48</v>
      </c>
      <c r="I8">
        <v>1</v>
      </c>
      <c r="J8">
        <f>_xlfn.XLOOKUP(G8,Lookup!$B:$B,Lookup!$C:$C,"Not Found")</f>
        <v>12000</v>
      </c>
      <c r="K8" s="2">
        <v>0.12</v>
      </c>
      <c r="L8">
        <f t="shared" si="0"/>
        <v>10560</v>
      </c>
      <c r="M8">
        <f>L8*_xlfn.XLOOKUP(G8,Lookup!$B:$B,Lookup!$D:$D)</f>
        <v>1584</v>
      </c>
    </row>
    <row r="9" spans="1:13" x14ac:dyDescent="0.3">
      <c r="A9" t="s">
        <v>78</v>
      </c>
      <c r="B9" s="3">
        <v>46030</v>
      </c>
      <c r="C9" t="s">
        <v>57</v>
      </c>
      <c r="D9" t="str">
        <f>_xlfn.XLOOKUP(C9,Lookup!M9:M18,Lookup!N9:N18,"Not Found")</f>
        <v>Anjali Verma</v>
      </c>
      <c r="E9" t="s">
        <v>39</v>
      </c>
      <c r="F9" t="s">
        <v>14</v>
      </c>
      <c r="G9" t="s">
        <v>25</v>
      </c>
      <c r="H9" t="s">
        <v>49</v>
      </c>
      <c r="I9">
        <v>4</v>
      </c>
      <c r="J9">
        <f>_xlfn.XLOOKUP(G9,Lookup!$B:$B,Lookup!$C:$C,"Not Found")</f>
        <v>350</v>
      </c>
      <c r="K9" s="2">
        <v>0.05</v>
      </c>
      <c r="L9">
        <f t="shared" si="0"/>
        <v>1330</v>
      </c>
      <c r="M9">
        <f>L9*_xlfn.XLOOKUP(G9,Lookup!$B:$B,Lookup!$D:$D)</f>
        <v>199.5</v>
      </c>
    </row>
    <row r="10" spans="1:13" x14ac:dyDescent="0.3">
      <c r="A10" t="s">
        <v>79</v>
      </c>
      <c r="B10" s="3">
        <v>46031</v>
      </c>
      <c r="C10" t="s">
        <v>58</v>
      </c>
      <c r="D10" t="str">
        <f>_xlfn.XLOOKUP(C10,Lookup!M10:M19,Lookup!N10:N19,"Not Found")</f>
        <v>Rohith Jain</v>
      </c>
      <c r="E10" t="s">
        <v>40</v>
      </c>
      <c r="F10" t="s">
        <v>15</v>
      </c>
      <c r="G10" t="s">
        <v>29</v>
      </c>
      <c r="H10" t="s">
        <v>42</v>
      </c>
      <c r="I10">
        <v>2</v>
      </c>
      <c r="J10">
        <f>_xlfn.XLOOKUP(G10,Lookup!$B:$B,Lookup!$C:$C,"Not Found")</f>
        <v>2499</v>
      </c>
      <c r="K10" s="2">
        <v>0.2</v>
      </c>
      <c r="L10">
        <f t="shared" si="0"/>
        <v>3998.4</v>
      </c>
      <c r="M10">
        <f>L10*_xlfn.XLOOKUP(G10,Lookup!$B:$B,Lookup!$D:$D)</f>
        <v>1119.5520000000001</v>
      </c>
    </row>
    <row r="11" spans="1:13" x14ac:dyDescent="0.3">
      <c r="A11" t="s">
        <v>80</v>
      </c>
      <c r="B11" s="3">
        <v>46032</v>
      </c>
      <c r="C11" t="s">
        <v>59</v>
      </c>
      <c r="D11" t="str">
        <f>_xlfn.XLOOKUP(C11,Lookup!M11:M20,Lookup!N11:N20,"Not Found")</f>
        <v>Meera Iyer</v>
      </c>
      <c r="E11" t="s">
        <v>35</v>
      </c>
      <c r="F11" t="s">
        <v>13</v>
      </c>
      <c r="G11" t="s">
        <v>19</v>
      </c>
      <c r="H11" t="s">
        <v>43</v>
      </c>
      <c r="I11">
        <v>3</v>
      </c>
      <c r="J11">
        <f>_xlfn.XLOOKUP(G11,Lookup!$B:$B,Lookup!$C:$C,"Not Found")</f>
        <v>5000</v>
      </c>
      <c r="K11" s="2">
        <v>0.1</v>
      </c>
      <c r="L11">
        <f t="shared" si="0"/>
        <v>13500</v>
      </c>
      <c r="M11">
        <f>L11*_xlfn.XLOOKUP(G11,Lookup!$B:$B,Lookup!$D:$D)</f>
        <v>2430</v>
      </c>
    </row>
    <row r="12" spans="1:13" x14ac:dyDescent="0.3">
      <c r="A12" t="s">
        <v>82</v>
      </c>
      <c r="B12" s="3">
        <v>46033</v>
      </c>
      <c r="C12" t="s">
        <v>172</v>
      </c>
      <c r="D12" t="str">
        <f>_xlfn.XLOOKUP(C12,Lookup!M12:M21,Lookup!N12:N21,"Not Found")</f>
        <v>Akash Kumar</v>
      </c>
      <c r="E12" t="s">
        <v>32</v>
      </c>
      <c r="F12" t="s">
        <v>13</v>
      </c>
      <c r="G12" t="s">
        <v>16</v>
      </c>
      <c r="H12" t="s">
        <v>42</v>
      </c>
      <c r="I12">
        <v>1</v>
      </c>
      <c r="J12">
        <f>_xlfn.XLOOKUP(G12,Lookup!$B:$B,Lookup!$C:$C,"Not Found")</f>
        <v>65000</v>
      </c>
      <c r="K12" s="2">
        <v>0.1</v>
      </c>
      <c r="L12">
        <f t="shared" ref="L12:L43" si="1">I12*J12*(1-K12)</f>
        <v>58500</v>
      </c>
      <c r="M12">
        <f>L12*_xlfn.XLOOKUP(G12,Lookup!$B:$B,Lookup!$D:$D)</f>
        <v>10530</v>
      </c>
    </row>
    <row r="13" spans="1:13" x14ac:dyDescent="0.3">
      <c r="A13" t="s">
        <v>83</v>
      </c>
      <c r="B13" s="3">
        <v>46034</v>
      </c>
      <c r="C13" t="s">
        <v>173</v>
      </c>
      <c r="D13" t="str">
        <f>_xlfn.XLOOKUP(C13,Lookup!M13:M22,Lookup!N13:N22,"Not Found")</f>
        <v>Divya Rao</v>
      </c>
      <c r="E13" t="s">
        <v>81</v>
      </c>
      <c r="F13" t="s">
        <v>14</v>
      </c>
      <c r="G13" s="1" t="s">
        <v>21</v>
      </c>
      <c r="H13" t="s">
        <v>43</v>
      </c>
      <c r="I13">
        <v>3</v>
      </c>
      <c r="J13">
        <f>_xlfn.XLOOKUP(G13,Lookup!$B:$B,Lookup!$C:$C,"Not Found")</f>
        <v>1200</v>
      </c>
      <c r="K13" s="2">
        <v>0.05</v>
      </c>
      <c r="L13">
        <f t="shared" si="1"/>
        <v>3420</v>
      </c>
      <c r="M13">
        <f>L13*_xlfn.XLOOKUP(G13,Lookup!$B:$B,Lookup!$D:$D)</f>
        <v>342</v>
      </c>
    </row>
    <row r="14" spans="1:13" x14ac:dyDescent="0.3">
      <c r="A14" t="s">
        <v>84</v>
      </c>
      <c r="B14" s="3">
        <v>46035</v>
      </c>
      <c r="C14" t="s">
        <v>174</v>
      </c>
      <c r="D14" t="str">
        <f>_xlfn.XLOOKUP(C14,Lookup!M14:M23,Lookup!N14:N23,"Not Found")</f>
        <v xml:space="preserve">Sanjay Patel </v>
      </c>
      <c r="E14" t="s">
        <v>34</v>
      </c>
      <c r="F14" t="s">
        <v>15</v>
      </c>
      <c r="G14" t="s">
        <v>26</v>
      </c>
      <c r="H14" t="s">
        <v>44</v>
      </c>
      <c r="I14">
        <v>2</v>
      </c>
      <c r="J14">
        <f>_xlfn.XLOOKUP(G14,Lookup!$B:$B,Lookup!$C:$C,"Not Found")</f>
        <v>799</v>
      </c>
      <c r="K14" s="2">
        <v>0.15</v>
      </c>
      <c r="L14">
        <f t="shared" si="1"/>
        <v>1358.3</v>
      </c>
      <c r="M14">
        <f>L14*_xlfn.XLOOKUP(G14,Lookup!$B:$B,Lookup!$D:$D)</f>
        <v>339.57499999999999</v>
      </c>
    </row>
    <row r="15" spans="1:13" x14ac:dyDescent="0.3">
      <c r="A15" t="s">
        <v>85</v>
      </c>
      <c r="B15" s="3">
        <v>46036</v>
      </c>
      <c r="C15" t="s">
        <v>175</v>
      </c>
      <c r="D15" t="str">
        <f>_xlfn.XLOOKUP(C15,Lookup!M15:M24,Lookup!N15:N24,"Not Found")</f>
        <v>Pooja Sharma</v>
      </c>
      <c r="E15" t="s">
        <v>36</v>
      </c>
      <c r="F15" t="s">
        <v>13</v>
      </c>
      <c r="G15" t="s">
        <v>17</v>
      </c>
      <c r="H15" t="s">
        <v>45</v>
      </c>
      <c r="I15">
        <v>1</v>
      </c>
      <c r="J15">
        <f>_xlfn.XLOOKUP(G15,Lookup!$B:$B,Lookup!$C:$C,"Not Found")</f>
        <v>25000</v>
      </c>
      <c r="K15" s="2">
        <v>0.08</v>
      </c>
      <c r="L15">
        <f t="shared" si="1"/>
        <v>23000</v>
      </c>
      <c r="M15">
        <f>L15*_xlfn.XLOOKUP(G15,Lookup!$B:$B,Lookup!$D:$D)</f>
        <v>3450</v>
      </c>
    </row>
    <row r="16" spans="1:13" x14ac:dyDescent="0.3">
      <c r="A16" t="s">
        <v>86</v>
      </c>
      <c r="B16" s="3">
        <v>46037</v>
      </c>
      <c r="C16" t="s">
        <v>176</v>
      </c>
      <c r="D16" t="str">
        <f>_xlfn.XLOOKUP(C16,Lookup!M16:M25,Lookup!N16:N25,"Not Found")</f>
        <v>Vikram Singh</v>
      </c>
      <c r="E16" t="s">
        <v>37</v>
      </c>
      <c r="F16" t="s">
        <v>14</v>
      </c>
      <c r="G16" t="s">
        <v>22</v>
      </c>
      <c r="H16" t="s">
        <v>46</v>
      </c>
      <c r="I16">
        <v>5</v>
      </c>
      <c r="J16">
        <f>_xlfn.XLOOKUP(G16,Lookup!$B:$B,Lookup!$C:$C,"Not Found")</f>
        <v>60</v>
      </c>
      <c r="K16" s="2">
        <v>0</v>
      </c>
      <c r="L16">
        <f t="shared" si="1"/>
        <v>300</v>
      </c>
      <c r="M16">
        <f>L16*_xlfn.XLOOKUP(G16,Lookup!$B:$B,Lookup!$D:$D)</f>
        <v>24</v>
      </c>
    </row>
    <row r="17" spans="1:13" x14ac:dyDescent="0.3">
      <c r="A17" t="s">
        <v>87</v>
      </c>
      <c r="B17" s="3">
        <v>46038</v>
      </c>
      <c r="C17" t="s">
        <v>177</v>
      </c>
      <c r="D17" t="str">
        <f>_xlfn.XLOOKUP(C17,Lookup!M17:M26,Lookup!N17:N26,"Not Found")</f>
        <v>Nisha Reddy</v>
      </c>
      <c r="E17" t="s">
        <v>32</v>
      </c>
      <c r="F17" t="s">
        <v>15</v>
      </c>
      <c r="G17" t="s">
        <v>27</v>
      </c>
      <c r="H17" t="s">
        <v>47</v>
      </c>
      <c r="I17">
        <v>2</v>
      </c>
      <c r="J17">
        <f>_xlfn.XLOOKUP(G17,Lookup!$B:$B,Lookup!$C:$C,"Not Found")</f>
        <v>1999</v>
      </c>
      <c r="K17" s="2">
        <v>0.1</v>
      </c>
      <c r="L17">
        <f t="shared" si="1"/>
        <v>3598.2000000000003</v>
      </c>
      <c r="M17">
        <f>L17*_xlfn.XLOOKUP(G17,Lookup!$B:$B,Lookup!$D:$D)</f>
        <v>1079.46</v>
      </c>
    </row>
    <row r="18" spans="1:13" x14ac:dyDescent="0.3">
      <c r="A18" t="s">
        <v>88</v>
      </c>
      <c r="B18" s="3">
        <v>46039</v>
      </c>
      <c r="C18" t="s">
        <v>178</v>
      </c>
      <c r="D18" t="str">
        <f>_xlfn.XLOOKUP(C18,Lookup!M18:M27,Lookup!N18:N27,"Not Found")</f>
        <v>Karthik Nair</v>
      </c>
      <c r="E18" t="s">
        <v>38</v>
      </c>
      <c r="F18" t="s">
        <v>13</v>
      </c>
      <c r="G18" t="s">
        <v>20</v>
      </c>
      <c r="H18" t="s">
        <v>48</v>
      </c>
      <c r="I18">
        <v>1</v>
      </c>
      <c r="J18">
        <f>_xlfn.XLOOKUP(G18,Lookup!$B:$B,Lookup!$C:$C,"Not Found")</f>
        <v>12000</v>
      </c>
      <c r="K18" s="2">
        <v>0.12</v>
      </c>
      <c r="L18">
        <f t="shared" si="1"/>
        <v>10560</v>
      </c>
      <c r="M18">
        <f>L18*_xlfn.XLOOKUP(G18,Lookup!$B:$B,Lookup!$D:$D)</f>
        <v>1584</v>
      </c>
    </row>
    <row r="19" spans="1:13" x14ac:dyDescent="0.3">
      <c r="A19" t="s">
        <v>89</v>
      </c>
      <c r="B19" s="3">
        <v>46040</v>
      </c>
      <c r="C19" t="s">
        <v>179</v>
      </c>
      <c r="D19" t="str">
        <f>_xlfn.XLOOKUP(C19,Lookup!M19:M28,Lookup!N19:N28,"Not Found")</f>
        <v>Deepa Das</v>
      </c>
      <c r="E19" t="s">
        <v>39</v>
      </c>
      <c r="F19" t="s">
        <v>14</v>
      </c>
      <c r="G19" t="s">
        <v>25</v>
      </c>
      <c r="H19" t="s">
        <v>49</v>
      </c>
      <c r="I19">
        <v>4</v>
      </c>
      <c r="J19">
        <f>_xlfn.XLOOKUP(G19,Lookup!$B:$B,Lookup!$C:$C,"Not Found")</f>
        <v>350</v>
      </c>
      <c r="K19" s="2">
        <v>0.05</v>
      </c>
      <c r="L19">
        <f t="shared" si="1"/>
        <v>1330</v>
      </c>
      <c r="M19">
        <f>L19*_xlfn.XLOOKUP(G19,Lookup!$B:$B,Lookup!$D:$D)</f>
        <v>199.5</v>
      </c>
    </row>
    <row r="20" spans="1:13" x14ac:dyDescent="0.3">
      <c r="A20" t="s">
        <v>90</v>
      </c>
      <c r="B20" s="3">
        <v>46041</v>
      </c>
      <c r="C20" t="s">
        <v>180</v>
      </c>
      <c r="D20" t="str">
        <f>_xlfn.XLOOKUP(C20,Lookup!M20:M29,Lookup!N20:N29,"Not Found")</f>
        <v>Manoj Verma</v>
      </c>
      <c r="E20" t="s">
        <v>40</v>
      </c>
      <c r="F20" t="s">
        <v>15</v>
      </c>
      <c r="G20" t="s">
        <v>29</v>
      </c>
      <c r="H20" t="s">
        <v>42</v>
      </c>
      <c r="I20">
        <v>2</v>
      </c>
      <c r="J20">
        <f>_xlfn.XLOOKUP(G20,Lookup!$B:$B,Lookup!$C:$C,"Not Found")</f>
        <v>2499</v>
      </c>
      <c r="K20" s="2">
        <v>0.2</v>
      </c>
      <c r="L20">
        <f t="shared" si="1"/>
        <v>3998.4</v>
      </c>
      <c r="M20">
        <f>L20*_xlfn.XLOOKUP(G20,Lookup!$B:$B,Lookup!$D:$D)</f>
        <v>1119.5520000000001</v>
      </c>
    </row>
    <row r="21" spans="1:13" x14ac:dyDescent="0.3">
      <c r="A21" t="s">
        <v>91</v>
      </c>
      <c r="B21" s="3">
        <v>46042</v>
      </c>
      <c r="C21" t="s">
        <v>181</v>
      </c>
      <c r="D21" t="str">
        <f>_xlfn.XLOOKUP(C21,Lookup!M21:M30,Lookup!N21:N30,"Not Found")</f>
        <v>Aisha Khan</v>
      </c>
      <c r="E21" t="s">
        <v>35</v>
      </c>
      <c r="F21" t="s">
        <v>13</v>
      </c>
      <c r="G21" t="s">
        <v>19</v>
      </c>
      <c r="H21" t="s">
        <v>43</v>
      </c>
      <c r="I21">
        <v>3</v>
      </c>
      <c r="J21">
        <f>_xlfn.XLOOKUP(G21,Lookup!$B:$B,Lookup!$C:$C,"Not Found")</f>
        <v>5000</v>
      </c>
      <c r="K21" s="2">
        <v>0.1</v>
      </c>
      <c r="L21">
        <f t="shared" si="1"/>
        <v>13500</v>
      </c>
      <c r="M21">
        <f>L21*_xlfn.XLOOKUP(G21,Lookup!$B:$B,Lookup!$D:$D)</f>
        <v>2430</v>
      </c>
    </row>
    <row r="22" spans="1:13" x14ac:dyDescent="0.3">
      <c r="A22" t="s">
        <v>92</v>
      </c>
      <c r="B22" s="3">
        <v>46043</v>
      </c>
      <c r="C22" t="s">
        <v>182</v>
      </c>
      <c r="D22" t="str">
        <f>_xlfn.XLOOKUP(C22,Lookup!M22:M31,Lookup!N22:N31,"Not Found")</f>
        <v>Rohan Mehta</v>
      </c>
      <c r="E22" t="s">
        <v>32</v>
      </c>
      <c r="F22" t="s">
        <v>13</v>
      </c>
      <c r="G22" t="s">
        <v>16</v>
      </c>
      <c r="H22" t="s">
        <v>42</v>
      </c>
      <c r="I22">
        <v>1</v>
      </c>
      <c r="J22">
        <f>_xlfn.XLOOKUP(G22,Lookup!$B:$B,Lookup!$C:$C,"Not Found")</f>
        <v>65000</v>
      </c>
      <c r="K22" s="2">
        <v>0.1</v>
      </c>
      <c r="L22">
        <f t="shared" si="1"/>
        <v>58500</v>
      </c>
      <c r="M22">
        <f>L22*_xlfn.XLOOKUP(G22,Lookup!$B:$B,Lookup!$D:$D)</f>
        <v>10530</v>
      </c>
    </row>
    <row r="23" spans="1:13" x14ac:dyDescent="0.3">
      <c r="A23" t="s">
        <v>93</v>
      </c>
      <c r="B23" s="3">
        <v>46044</v>
      </c>
      <c r="C23" t="s">
        <v>183</v>
      </c>
      <c r="D23" t="str">
        <f>_xlfn.XLOOKUP(C23,Lookup!M23:M32,Lookup!N23:N32,"Not Found")</f>
        <v>Kavya Iyer</v>
      </c>
      <c r="E23" t="s">
        <v>81</v>
      </c>
      <c r="F23" t="s">
        <v>14</v>
      </c>
      <c r="G23" s="1" t="s">
        <v>21</v>
      </c>
      <c r="H23" t="s">
        <v>43</v>
      </c>
      <c r="I23">
        <v>3</v>
      </c>
      <c r="J23">
        <f>_xlfn.XLOOKUP(G23,Lookup!$B:$B,Lookup!$C:$C,"Not Found")</f>
        <v>1200</v>
      </c>
      <c r="K23" s="2">
        <v>0.05</v>
      </c>
      <c r="L23">
        <f t="shared" si="1"/>
        <v>3420</v>
      </c>
      <c r="M23">
        <f>L23*_xlfn.XLOOKUP(G23,Lookup!$B:$B,Lookup!$D:$D)</f>
        <v>342</v>
      </c>
    </row>
    <row r="24" spans="1:13" x14ac:dyDescent="0.3">
      <c r="A24" t="s">
        <v>94</v>
      </c>
      <c r="B24" s="3">
        <v>46045</v>
      </c>
      <c r="C24" t="s">
        <v>184</v>
      </c>
      <c r="D24" t="str">
        <f>_xlfn.XLOOKUP(C24,Lookup!M24:M33,Lookup!N24:N33,"Not Found")</f>
        <v>Aditya Joshi</v>
      </c>
      <c r="E24" t="s">
        <v>34</v>
      </c>
      <c r="F24" t="s">
        <v>15</v>
      </c>
      <c r="G24" t="s">
        <v>26</v>
      </c>
      <c r="H24" t="s">
        <v>44</v>
      </c>
      <c r="I24">
        <v>2</v>
      </c>
      <c r="J24">
        <f>_xlfn.XLOOKUP(G24,Lookup!$B:$B,Lookup!$C:$C,"Not Found")</f>
        <v>799</v>
      </c>
      <c r="K24" s="2">
        <v>0.15</v>
      </c>
      <c r="L24">
        <f t="shared" si="1"/>
        <v>1358.3</v>
      </c>
      <c r="M24">
        <f>L24*_xlfn.XLOOKUP(G24,Lookup!$B:$B,Lookup!$D:$D)</f>
        <v>339.57499999999999</v>
      </c>
    </row>
    <row r="25" spans="1:13" x14ac:dyDescent="0.3">
      <c r="A25" t="s">
        <v>95</v>
      </c>
      <c r="B25" s="3">
        <v>46046</v>
      </c>
      <c r="C25" t="s">
        <v>185</v>
      </c>
      <c r="D25" t="str">
        <f>_xlfn.XLOOKUP(C25,Lookup!M25:M34,Lookup!N25:N34,"Not Found")</f>
        <v>Shruthi Rao</v>
      </c>
      <c r="E25" t="s">
        <v>36</v>
      </c>
      <c r="F25" t="s">
        <v>13</v>
      </c>
      <c r="G25" t="s">
        <v>17</v>
      </c>
      <c r="H25" t="s">
        <v>45</v>
      </c>
      <c r="I25">
        <v>1</v>
      </c>
      <c r="J25">
        <f>_xlfn.XLOOKUP(G25,Lookup!$B:$B,Lookup!$C:$C,"Not Found")</f>
        <v>25000</v>
      </c>
      <c r="K25" s="2">
        <v>0.08</v>
      </c>
      <c r="L25">
        <f t="shared" si="1"/>
        <v>23000</v>
      </c>
      <c r="M25">
        <f>L25*_xlfn.XLOOKUP(G25,Lookup!$B:$B,Lookup!$D:$D)</f>
        <v>3450</v>
      </c>
    </row>
    <row r="26" spans="1:13" x14ac:dyDescent="0.3">
      <c r="A26" t="s">
        <v>96</v>
      </c>
      <c r="B26" s="3">
        <v>46047</v>
      </c>
      <c r="C26" t="s">
        <v>186</v>
      </c>
      <c r="D26" t="str">
        <f>_xlfn.XLOOKUP(C26,Lookup!M26:M35,Lookup!N26:N35,"Not Found")</f>
        <v>Harish Kumar</v>
      </c>
      <c r="E26" t="s">
        <v>37</v>
      </c>
      <c r="F26" t="s">
        <v>14</v>
      </c>
      <c r="G26" t="s">
        <v>22</v>
      </c>
      <c r="H26" t="s">
        <v>46</v>
      </c>
      <c r="I26">
        <v>5</v>
      </c>
      <c r="J26">
        <f>_xlfn.XLOOKUP(G26,Lookup!$B:$B,Lookup!$C:$C,"Not Found")</f>
        <v>60</v>
      </c>
      <c r="K26" s="2">
        <v>0</v>
      </c>
      <c r="L26">
        <f t="shared" si="1"/>
        <v>300</v>
      </c>
      <c r="M26">
        <f>L26*_xlfn.XLOOKUP(G26,Lookup!$B:$B,Lookup!$D:$D)</f>
        <v>24</v>
      </c>
    </row>
    <row r="27" spans="1:13" x14ac:dyDescent="0.3">
      <c r="A27" t="s">
        <v>97</v>
      </c>
      <c r="B27" s="3">
        <v>46048</v>
      </c>
      <c r="C27" t="s">
        <v>187</v>
      </c>
      <c r="D27" t="str">
        <f>_xlfn.XLOOKUP(C27,Lookup!M27:M36,Lookup!N27:N36,"Not Found")</f>
        <v>Pooja Nair</v>
      </c>
      <c r="E27" t="s">
        <v>32</v>
      </c>
      <c r="F27" t="s">
        <v>15</v>
      </c>
      <c r="G27" t="s">
        <v>27</v>
      </c>
      <c r="H27" t="s">
        <v>47</v>
      </c>
      <c r="I27">
        <v>2</v>
      </c>
      <c r="J27">
        <f>_xlfn.XLOOKUP(G27,Lookup!$B:$B,Lookup!$C:$C,"Not Found")</f>
        <v>1999</v>
      </c>
      <c r="K27" s="2">
        <v>0.1</v>
      </c>
      <c r="L27">
        <f t="shared" si="1"/>
        <v>3598.2000000000003</v>
      </c>
      <c r="M27">
        <f>L27*_xlfn.XLOOKUP(G27,Lookup!$B:$B,Lookup!$D:$D)</f>
        <v>1079.46</v>
      </c>
    </row>
    <row r="28" spans="1:13" x14ac:dyDescent="0.3">
      <c r="A28" t="s">
        <v>98</v>
      </c>
      <c r="B28" s="3">
        <v>46049</v>
      </c>
      <c r="C28" t="s">
        <v>188</v>
      </c>
      <c r="D28" t="str">
        <f>_xlfn.XLOOKUP(C28,Lookup!M28:M37,Lookup!N28:N37,"Not Found")</f>
        <v xml:space="preserve">Naveen Kumar </v>
      </c>
      <c r="E28" t="s">
        <v>38</v>
      </c>
      <c r="F28" t="s">
        <v>13</v>
      </c>
      <c r="G28" t="s">
        <v>20</v>
      </c>
      <c r="H28" t="s">
        <v>48</v>
      </c>
      <c r="I28">
        <v>1</v>
      </c>
      <c r="J28">
        <f>_xlfn.XLOOKUP(G28,Lookup!$B:$B,Lookup!$C:$C,"Not Found")</f>
        <v>12000</v>
      </c>
      <c r="K28" s="2">
        <v>0.12</v>
      </c>
      <c r="L28">
        <f t="shared" si="1"/>
        <v>10560</v>
      </c>
      <c r="M28">
        <f>L28*_xlfn.XLOOKUP(G28,Lookup!$B:$B,Lookup!$D:$D)</f>
        <v>1584</v>
      </c>
    </row>
    <row r="29" spans="1:13" x14ac:dyDescent="0.3">
      <c r="A29" t="s">
        <v>99</v>
      </c>
      <c r="B29" s="3">
        <v>46050</v>
      </c>
      <c r="C29" t="s">
        <v>189</v>
      </c>
      <c r="D29" t="str">
        <f>_xlfn.XLOOKUP(C29,Lookup!M29:M38,Lookup!N29:N38,"Not Found")</f>
        <v>Jeevitha</v>
      </c>
      <c r="E29" t="s">
        <v>39</v>
      </c>
      <c r="F29" t="s">
        <v>14</v>
      </c>
      <c r="G29" t="s">
        <v>25</v>
      </c>
      <c r="H29" t="s">
        <v>49</v>
      </c>
      <c r="I29">
        <v>4</v>
      </c>
      <c r="J29">
        <f>_xlfn.XLOOKUP(G29,Lookup!$B:$B,Lookup!$C:$C,"Not Found")</f>
        <v>350</v>
      </c>
      <c r="K29" s="2">
        <v>0.05</v>
      </c>
      <c r="L29">
        <f t="shared" si="1"/>
        <v>1330</v>
      </c>
      <c r="M29">
        <f>L29*_xlfn.XLOOKUP(G29,Lookup!$B:$B,Lookup!$D:$D)</f>
        <v>199.5</v>
      </c>
    </row>
    <row r="30" spans="1:13" x14ac:dyDescent="0.3">
      <c r="A30" t="s">
        <v>100</v>
      </c>
      <c r="B30" s="3">
        <v>46051</v>
      </c>
      <c r="C30" t="s">
        <v>190</v>
      </c>
      <c r="D30" t="str">
        <f>_xlfn.XLOOKUP(C30,Lookup!M30:M39,Lookup!N30:N39,"Not Found")</f>
        <v>Sandeep Das</v>
      </c>
      <c r="E30" t="s">
        <v>40</v>
      </c>
      <c r="F30" t="s">
        <v>15</v>
      </c>
      <c r="G30" t="s">
        <v>29</v>
      </c>
      <c r="H30" t="s">
        <v>42</v>
      </c>
      <c r="I30">
        <v>2</v>
      </c>
      <c r="J30">
        <f>_xlfn.XLOOKUP(G30,Lookup!$B:$B,Lookup!$C:$C,"Not Found")</f>
        <v>2499</v>
      </c>
      <c r="K30" s="2">
        <v>0.2</v>
      </c>
      <c r="L30">
        <f t="shared" si="1"/>
        <v>3998.4</v>
      </c>
      <c r="M30">
        <f>L30*_xlfn.XLOOKUP(G30,Lookup!$B:$B,Lookup!$D:$D)</f>
        <v>1119.5520000000001</v>
      </c>
    </row>
    <row r="31" spans="1:13" x14ac:dyDescent="0.3">
      <c r="A31" t="s">
        <v>101</v>
      </c>
      <c r="B31" s="3">
        <v>46052</v>
      </c>
      <c r="C31" t="s">
        <v>191</v>
      </c>
      <c r="D31" t="str">
        <f>_xlfn.XLOOKUP(C31,Lookup!M31:M40,Lookup!N31:N40,"Not Found")</f>
        <v>Aditi Sharma</v>
      </c>
      <c r="E31" t="s">
        <v>35</v>
      </c>
      <c r="F31" t="s">
        <v>13</v>
      </c>
      <c r="G31" t="s">
        <v>19</v>
      </c>
      <c r="H31" t="s">
        <v>43</v>
      </c>
      <c r="I31">
        <v>3</v>
      </c>
      <c r="J31">
        <f>_xlfn.XLOOKUP(G31,Lookup!$B:$B,Lookup!$C:$C,"Not Found")</f>
        <v>5000</v>
      </c>
      <c r="K31" s="2">
        <v>0.1</v>
      </c>
      <c r="L31">
        <f t="shared" si="1"/>
        <v>13500</v>
      </c>
      <c r="M31">
        <f>L31*_xlfn.XLOOKUP(G31,Lookup!$B:$B,Lookup!$D:$D)</f>
        <v>2430</v>
      </c>
    </row>
    <row r="32" spans="1:13" x14ac:dyDescent="0.3">
      <c r="A32" t="s">
        <v>102</v>
      </c>
      <c r="B32" s="3">
        <v>46053</v>
      </c>
      <c r="C32" t="s">
        <v>192</v>
      </c>
      <c r="D32" t="str">
        <f>_xlfn.XLOOKUP(C32,Lookup!M32:M41,Lookup!N32:N41,"Not Found")</f>
        <v>Rahul Gupta</v>
      </c>
      <c r="E32" t="s">
        <v>32</v>
      </c>
      <c r="F32" t="s">
        <v>13</v>
      </c>
      <c r="G32" t="s">
        <v>16</v>
      </c>
      <c r="H32" t="s">
        <v>42</v>
      </c>
      <c r="I32">
        <v>1</v>
      </c>
      <c r="J32">
        <f>_xlfn.XLOOKUP(G32,Lookup!$B:$B,Lookup!$C:$C,"Not Found")</f>
        <v>65000</v>
      </c>
      <c r="K32" s="2">
        <v>0.1</v>
      </c>
      <c r="L32">
        <f t="shared" si="1"/>
        <v>58500</v>
      </c>
      <c r="M32">
        <f>L32*_xlfn.XLOOKUP(G32,Lookup!$B:$B,Lookup!$D:$D)</f>
        <v>10530</v>
      </c>
    </row>
    <row r="33" spans="1:13" x14ac:dyDescent="0.3">
      <c r="A33" t="s">
        <v>103</v>
      </c>
      <c r="B33" s="3">
        <v>46054</v>
      </c>
      <c r="C33" t="s">
        <v>193</v>
      </c>
      <c r="D33" t="str">
        <f>_xlfn.XLOOKUP(C33,Lookup!M33:M42,Lookup!N33:N42,"Not Found")</f>
        <v>Swathi kumari</v>
      </c>
      <c r="E33" t="s">
        <v>81</v>
      </c>
      <c r="F33" t="s">
        <v>14</v>
      </c>
      <c r="G33" s="1" t="s">
        <v>21</v>
      </c>
      <c r="H33" t="s">
        <v>43</v>
      </c>
      <c r="I33">
        <v>3</v>
      </c>
      <c r="J33">
        <f>_xlfn.XLOOKUP(G33,Lookup!$B:$B,Lookup!$C:$C,"Not Found")</f>
        <v>1200</v>
      </c>
      <c r="K33" s="2">
        <v>0.05</v>
      </c>
      <c r="L33">
        <f t="shared" si="1"/>
        <v>3420</v>
      </c>
      <c r="M33">
        <f>L33*_xlfn.XLOOKUP(G33,Lookup!$B:$B,Lookup!$D:$D)</f>
        <v>342</v>
      </c>
    </row>
    <row r="34" spans="1:13" x14ac:dyDescent="0.3">
      <c r="A34" t="s">
        <v>104</v>
      </c>
      <c r="B34" s="3">
        <v>46055</v>
      </c>
      <c r="C34" t="s">
        <v>194</v>
      </c>
      <c r="D34" t="str">
        <f>_xlfn.XLOOKUP(C34,Lookup!M34:M43,Lookup!N34:N43,"Not Found")</f>
        <v>Ajay Verma</v>
      </c>
      <c r="E34" t="s">
        <v>34</v>
      </c>
      <c r="F34" t="s">
        <v>15</v>
      </c>
      <c r="G34" t="s">
        <v>26</v>
      </c>
      <c r="H34" t="s">
        <v>44</v>
      </c>
      <c r="I34">
        <v>2</v>
      </c>
      <c r="J34">
        <f>_xlfn.XLOOKUP(G34,Lookup!$B:$B,Lookup!$C:$C,"Not Found")</f>
        <v>799</v>
      </c>
      <c r="K34" s="2">
        <v>0.15</v>
      </c>
      <c r="L34">
        <f t="shared" si="1"/>
        <v>1358.3</v>
      </c>
      <c r="M34">
        <f>L34*_xlfn.XLOOKUP(G34,Lookup!$B:$B,Lookup!$D:$D)</f>
        <v>339.57499999999999</v>
      </c>
    </row>
    <row r="35" spans="1:13" x14ac:dyDescent="0.3">
      <c r="A35" t="s">
        <v>105</v>
      </c>
      <c r="B35" s="3">
        <v>46056</v>
      </c>
      <c r="C35" t="s">
        <v>195</v>
      </c>
      <c r="D35" t="str">
        <f>_xlfn.XLOOKUP(C35,Lookup!M35:M44,Lookup!N35:N44,"Not Found")</f>
        <v>Nikita Singh</v>
      </c>
      <c r="E35" t="s">
        <v>36</v>
      </c>
      <c r="F35" t="s">
        <v>13</v>
      </c>
      <c r="G35" t="s">
        <v>17</v>
      </c>
      <c r="H35" t="s">
        <v>45</v>
      </c>
      <c r="I35">
        <v>1</v>
      </c>
      <c r="J35">
        <f>_xlfn.XLOOKUP(G35,Lookup!$B:$B,Lookup!$C:$C,"Not Found")</f>
        <v>25000</v>
      </c>
      <c r="K35" s="2">
        <v>0.08</v>
      </c>
      <c r="L35">
        <f t="shared" si="1"/>
        <v>23000</v>
      </c>
      <c r="M35">
        <f>L35*_xlfn.XLOOKUP(G35,Lookup!$B:$B,Lookup!$D:$D)</f>
        <v>3450</v>
      </c>
    </row>
    <row r="36" spans="1:13" x14ac:dyDescent="0.3">
      <c r="A36" t="s">
        <v>106</v>
      </c>
      <c r="B36" s="3">
        <v>46057</v>
      </c>
      <c r="C36" t="s">
        <v>196</v>
      </c>
      <c r="D36" t="str">
        <f>_xlfn.XLOOKUP(C36,Lookup!M36:M45,Lookup!N36:N45,"Not Found")</f>
        <v>Varun Nair</v>
      </c>
      <c r="E36" t="s">
        <v>37</v>
      </c>
      <c r="F36" t="s">
        <v>14</v>
      </c>
      <c r="G36" t="s">
        <v>22</v>
      </c>
      <c r="H36" t="s">
        <v>46</v>
      </c>
      <c r="I36">
        <v>5</v>
      </c>
      <c r="J36">
        <f>_xlfn.XLOOKUP(G36,Lookup!$B:$B,Lookup!$C:$C,"Not Found")</f>
        <v>60</v>
      </c>
      <c r="K36" s="2">
        <v>0</v>
      </c>
      <c r="L36">
        <f t="shared" si="1"/>
        <v>300</v>
      </c>
      <c r="M36">
        <f>L36*_xlfn.XLOOKUP(G36,Lookup!$B:$B,Lookup!$D:$D)</f>
        <v>24</v>
      </c>
    </row>
    <row r="37" spans="1:13" x14ac:dyDescent="0.3">
      <c r="A37" t="s">
        <v>107</v>
      </c>
      <c r="B37" s="3">
        <v>46058</v>
      </c>
      <c r="C37" t="s">
        <v>197</v>
      </c>
      <c r="D37" t="str">
        <f>_xlfn.XLOOKUP(C37,Lookup!M37:M46,Lookup!N37:N46,"Not Found")</f>
        <v>Bhavana Rao</v>
      </c>
      <c r="E37" t="s">
        <v>32</v>
      </c>
      <c r="F37" t="s">
        <v>15</v>
      </c>
      <c r="G37" t="s">
        <v>27</v>
      </c>
      <c r="H37" t="s">
        <v>47</v>
      </c>
      <c r="I37">
        <v>2</v>
      </c>
      <c r="J37">
        <f>_xlfn.XLOOKUP(G37,Lookup!$B:$B,Lookup!$C:$C,"Not Found")</f>
        <v>1999</v>
      </c>
      <c r="K37" s="2">
        <v>0.1</v>
      </c>
      <c r="L37">
        <f t="shared" si="1"/>
        <v>3598.2000000000003</v>
      </c>
      <c r="M37">
        <f>L37*_xlfn.XLOOKUP(G37,Lookup!$B:$B,Lookup!$D:$D)</f>
        <v>1079.46</v>
      </c>
    </row>
    <row r="38" spans="1:13" x14ac:dyDescent="0.3">
      <c r="A38" t="s">
        <v>108</v>
      </c>
      <c r="B38" s="3">
        <v>46059</v>
      </c>
      <c r="C38" t="s">
        <v>198</v>
      </c>
      <c r="D38" t="str">
        <f>_xlfn.XLOOKUP(C38,Lookup!M38:M47,Lookup!N38:N47,"Not Found")</f>
        <v>Mohan Krishna</v>
      </c>
      <c r="E38" t="s">
        <v>38</v>
      </c>
      <c r="F38" t="s">
        <v>13</v>
      </c>
      <c r="G38" t="s">
        <v>20</v>
      </c>
      <c r="H38" t="s">
        <v>48</v>
      </c>
      <c r="I38">
        <v>1</v>
      </c>
      <c r="J38">
        <f>_xlfn.XLOOKUP(G38,Lookup!$B:$B,Lookup!$C:$C,"Not Found")</f>
        <v>12000</v>
      </c>
      <c r="K38" s="2">
        <v>0.12</v>
      </c>
      <c r="L38">
        <f t="shared" si="1"/>
        <v>10560</v>
      </c>
      <c r="M38">
        <f>L38*_xlfn.XLOOKUP(G38,Lookup!$B:$B,Lookup!$D:$D)</f>
        <v>1584</v>
      </c>
    </row>
    <row r="39" spans="1:13" x14ac:dyDescent="0.3">
      <c r="A39" t="s">
        <v>109</v>
      </c>
      <c r="B39" s="3">
        <v>46060</v>
      </c>
      <c r="C39" t="s">
        <v>199</v>
      </c>
      <c r="D39" t="str">
        <f>_xlfn.XLOOKUP(C39,Lookup!M39:M48,Lookup!N39:N48,"Not Found")</f>
        <v>Keerthi Reddy</v>
      </c>
      <c r="E39" t="s">
        <v>39</v>
      </c>
      <c r="F39" t="s">
        <v>14</v>
      </c>
      <c r="G39" t="s">
        <v>25</v>
      </c>
      <c r="H39" t="s">
        <v>49</v>
      </c>
      <c r="I39">
        <v>4</v>
      </c>
      <c r="J39">
        <f>_xlfn.XLOOKUP(G39,Lookup!$B:$B,Lookup!$C:$C,"Not Found")</f>
        <v>350</v>
      </c>
      <c r="K39" s="2">
        <v>0.05</v>
      </c>
      <c r="L39">
        <f t="shared" si="1"/>
        <v>1330</v>
      </c>
      <c r="M39">
        <f>L39*_xlfn.XLOOKUP(G39,Lookup!$B:$B,Lookup!$D:$D)</f>
        <v>199.5</v>
      </c>
    </row>
    <row r="40" spans="1:13" x14ac:dyDescent="0.3">
      <c r="A40" t="s">
        <v>110</v>
      </c>
      <c r="B40" s="3">
        <v>46061</v>
      </c>
      <c r="C40" t="s">
        <v>200</v>
      </c>
      <c r="D40" t="str">
        <f>_xlfn.XLOOKUP(C40,Lookup!M40:M49,Lookup!N40:N49,"Not Found")</f>
        <v>Vivek Jain</v>
      </c>
      <c r="E40" t="s">
        <v>40</v>
      </c>
      <c r="F40" t="s">
        <v>15</v>
      </c>
      <c r="G40" t="s">
        <v>29</v>
      </c>
      <c r="H40" t="s">
        <v>42</v>
      </c>
      <c r="I40">
        <v>2</v>
      </c>
      <c r="J40">
        <f>_xlfn.XLOOKUP(G40,Lookup!$B:$B,Lookup!$C:$C,"Not Found")</f>
        <v>2499</v>
      </c>
      <c r="K40" s="2">
        <v>0.2</v>
      </c>
      <c r="L40">
        <f t="shared" si="1"/>
        <v>3998.4</v>
      </c>
      <c r="M40">
        <f>L40*_xlfn.XLOOKUP(G40,Lookup!$B:$B,Lookup!$D:$D)</f>
        <v>1119.5520000000001</v>
      </c>
    </row>
    <row r="41" spans="1:13" x14ac:dyDescent="0.3">
      <c r="A41" t="s">
        <v>111</v>
      </c>
      <c r="B41" s="3">
        <v>46062</v>
      </c>
      <c r="C41" t="s">
        <v>201</v>
      </c>
      <c r="D41" t="str">
        <f>_xlfn.XLOOKUP(C41,Lookup!M41:M50,Lookup!N41:N50,"Not Found")</f>
        <v>Ananya Das</v>
      </c>
      <c r="E41" t="s">
        <v>35</v>
      </c>
      <c r="F41" t="s">
        <v>13</v>
      </c>
      <c r="G41" t="s">
        <v>19</v>
      </c>
      <c r="H41" t="s">
        <v>43</v>
      </c>
      <c r="I41">
        <v>3</v>
      </c>
      <c r="J41">
        <f>_xlfn.XLOOKUP(G41,Lookup!$B:$B,Lookup!$C:$C,"Not Found")</f>
        <v>5000</v>
      </c>
      <c r="K41" s="2">
        <v>0.1</v>
      </c>
      <c r="L41">
        <f t="shared" si="1"/>
        <v>13500</v>
      </c>
      <c r="M41">
        <f>L41*_xlfn.XLOOKUP(G41,Lookup!$B:$B,Lookup!$D:$D)</f>
        <v>2430</v>
      </c>
    </row>
    <row r="42" spans="1:13" x14ac:dyDescent="0.3">
      <c r="A42" t="s">
        <v>112</v>
      </c>
      <c r="B42" s="3">
        <v>46063</v>
      </c>
      <c r="C42" t="s">
        <v>202</v>
      </c>
      <c r="D42" t="str">
        <f>_xlfn.XLOOKUP(C42,Lookup!M42:M51,Lookup!N42:N51,"Not Found")</f>
        <v>Kunal Sharma</v>
      </c>
      <c r="E42" t="s">
        <v>32</v>
      </c>
      <c r="F42" t="s">
        <v>13</v>
      </c>
      <c r="G42" t="s">
        <v>16</v>
      </c>
      <c r="H42" t="s">
        <v>42</v>
      </c>
      <c r="I42">
        <v>1</v>
      </c>
      <c r="J42">
        <f>_xlfn.XLOOKUP(G42,Lookup!$B:$B,Lookup!$C:$C,"Not Found")</f>
        <v>65000</v>
      </c>
      <c r="K42" s="2">
        <v>0.1</v>
      </c>
      <c r="L42">
        <f t="shared" si="1"/>
        <v>58500</v>
      </c>
      <c r="M42">
        <f>L42*_xlfn.XLOOKUP(G42,Lookup!$B:$B,Lookup!$D:$D)</f>
        <v>10530</v>
      </c>
    </row>
    <row r="43" spans="1:13" x14ac:dyDescent="0.3">
      <c r="A43" t="s">
        <v>113</v>
      </c>
      <c r="B43" s="3">
        <v>46064</v>
      </c>
      <c r="C43" t="s">
        <v>203</v>
      </c>
      <c r="D43" t="str">
        <f>_xlfn.XLOOKUP(C43,Lookup!M43:M52,Lookup!N43:N52,"Not Found")</f>
        <v>Ritu Verma</v>
      </c>
      <c r="E43" t="s">
        <v>81</v>
      </c>
      <c r="F43" t="s">
        <v>14</v>
      </c>
      <c r="G43" s="1" t="s">
        <v>21</v>
      </c>
      <c r="H43" t="s">
        <v>43</v>
      </c>
      <c r="I43">
        <v>3</v>
      </c>
      <c r="J43">
        <f>_xlfn.XLOOKUP(G43,Lookup!$B:$B,Lookup!$C:$C,"Not Found")</f>
        <v>1200</v>
      </c>
      <c r="K43" s="2">
        <v>0.05</v>
      </c>
      <c r="L43">
        <f t="shared" si="1"/>
        <v>3420</v>
      </c>
      <c r="M43">
        <f>L43*_xlfn.XLOOKUP(G43,Lookup!$B:$B,Lookup!$D:$D)</f>
        <v>342</v>
      </c>
    </row>
    <row r="44" spans="1:13" x14ac:dyDescent="0.3">
      <c r="A44" t="s">
        <v>114</v>
      </c>
      <c r="B44" s="3">
        <v>46065</v>
      </c>
      <c r="C44" t="s">
        <v>204</v>
      </c>
      <c r="D44" t="str">
        <f>_xlfn.XLOOKUP(C44,Lookup!M44:M53,Lookup!N44:N53,"Not Found")</f>
        <v>Abhishek Singh</v>
      </c>
      <c r="E44" t="s">
        <v>34</v>
      </c>
      <c r="F44" t="s">
        <v>15</v>
      </c>
      <c r="G44" t="s">
        <v>26</v>
      </c>
      <c r="H44" t="s">
        <v>44</v>
      </c>
      <c r="I44">
        <v>2</v>
      </c>
      <c r="J44">
        <f>_xlfn.XLOOKUP(G44,Lookup!$B:$B,Lookup!$C:$C,"Not Found")</f>
        <v>799</v>
      </c>
      <c r="K44" s="2">
        <v>0.15</v>
      </c>
      <c r="L44">
        <f t="shared" ref="L44:L75" si="2">I44*J44*(1-K44)</f>
        <v>1358.3</v>
      </c>
      <c r="M44">
        <f>L44*_xlfn.XLOOKUP(G44,Lookup!$B:$B,Lookup!$D:$D)</f>
        <v>339.57499999999999</v>
      </c>
    </row>
    <row r="45" spans="1:13" x14ac:dyDescent="0.3">
      <c r="A45" t="s">
        <v>115</v>
      </c>
      <c r="B45" s="3">
        <v>46066</v>
      </c>
      <c r="C45" t="s">
        <v>205</v>
      </c>
      <c r="D45" t="str">
        <f>_xlfn.XLOOKUP(C45,Lookup!M45:M54,Lookup!N45:N54,"Not Found")</f>
        <v>Lakshmi Iyer</v>
      </c>
      <c r="E45" t="s">
        <v>36</v>
      </c>
      <c r="F45" t="s">
        <v>13</v>
      </c>
      <c r="G45" t="s">
        <v>17</v>
      </c>
      <c r="H45" t="s">
        <v>45</v>
      </c>
      <c r="I45">
        <v>1</v>
      </c>
      <c r="J45">
        <f>_xlfn.XLOOKUP(G45,Lookup!$B:$B,Lookup!$C:$C,"Not Found")</f>
        <v>25000</v>
      </c>
      <c r="K45" s="2">
        <v>0.08</v>
      </c>
      <c r="L45">
        <f t="shared" si="2"/>
        <v>23000</v>
      </c>
      <c r="M45">
        <f>L45*_xlfn.XLOOKUP(G45,Lookup!$B:$B,Lookup!$D:$D)</f>
        <v>3450</v>
      </c>
    </row>
    <row r="46" spans="1:13" x14ac:dyDescent="0.3">
      <c r="A46" t="s">
        <v>116</v>
      </c>
      <c r="B46" s="3">
        <v>46067</v>
      </c>
      <c r="C46" t="s">
        <v>206</v>
      </c>
      <c r="D46" t="str">
        <f>_xlfn.XLOOKUP(C46,Lookup!M46:M55,Lookup!N46:N55,"Not Found")</f>
        <v>Nitin Patel</v>
      </c>
      <c r="E46" t="s">
        <v>37</v>
      </c>
      <c r="F46" t="s">
        <v>14</v>
      </c>
      <c r="G46" t="s">
        <v>22</v>
      </c>
      <c r="H46" t="s">
        <v>46</v>
      </c>
      <c r="I46">
        <v>5</v>
      </c>
      <c r="J46">
        <f>_xlfn.XLOOKUP(G46,Lookup!$B:$B,Lookup!$C:$C,"Not Found")</f>
        <v>60</v>
      </c>
      <c r="K46" s="2">
        <v>0</v>
      </c>
      <c r="L46">
        <f t="shared" si="2"/>
        <v>300</v>
      </c>
      <c r="M46">
        <f>L46*_xlfn.XLOOKUP(G46,Lookup!$B:$B,Lookup!$D:$D)</f>
        <v>24</v>
      </c>
    </row>
    <row r="47" spans="1:13" x14ac:dyDescent="0.3">
      <c r="A47" t="s">
        <v>117</v>
      </c>
      <c r="B47" s="3">
        <v>46068</v>
      </c>
      <c r="C47" t="s">
        <v>207</v>
      </c>
      <c r="D47" t="str">
        <f>_xlfn.XLOOKUP(C47,Lookup!M47:M56,Lookup!N47:N56,"Not Found")</f>
        <v>Shreya Gupta</v>
      </c>
      <c r="E47" t="s">
        <v>32</v>
      </c>
      <c r="F47" t="s">
        <v>15</v>
      </c>
      <c r="G47" t="s">
        <v>27</v>
      </c>
      <c r="H47" t="s">
        <v>47</v>
      </c>
      <c r="I47">
        <v>2</v>
      </c>
      <c r="J47">
        <f>_xlfn.XLOOKUP(G47,Lookup!$B:$B,Lookup!$C:$C,"Not Found")</f>
        <v>1999</v>
      </c>
      <c r="K47" s="2">
        <v>0.1</v>
      </c>
      <c r="L47">
        <f t="shared" si="2"/>
        <v>3598.2000000000003</v>
      </c>
      <c r="M47">
        <f>L47*_xlfn.XLOOKUP(G47,Lookup!$B:$B,Lookup!$D:$D)</f>
        <v>1079.46</v>
      </c>
    </row>
    <row r="48" spans="1:13" x14ac:dyDescent="0.3">
      <c r="A48" t="s">
        <v>118</v>
      </c>
      <c r="B48" s="3">
        <v>46069</v>
      </c>
      <c r="C48" t="s">
        <v>208</v>
      </c>
      <c r="D48" t="str">
        <f>_xlfn.XLOOKUP(C48,Lookup!M48:M57,Lookup!N48:N57,"Not Found")</f>
        <v>Ashwin Kumar</v>
      </c>
      <c r="E48" t="s">
        <v>38</v>
      </c>
      <c r="F48" t="s">
        <v>13</v>
      </c>
      <c r="G48" t="s">
        <v>20</v>
      </c>
      <c r="H48" t="s">
        <v>48</v>
      </c>
      <c r="I48">
        <v>1</v>
      </c>
      <c r="J48">
        <f>_xlfn.XLOOKUP(G48,Lookup!$B:$B,Lookup!$C:$C,"Not Found")</f>
        <v>12000</v>
      </c>
      <c r="K48" s="2">
        <v>0.12</v>
      </c>
      <c r="L48">
        <f t="shared" si="2"/>
        <v>10560</v>
      </c>
      <c r="M48">
        <f>L48*_xlfn.XLOOKUP(G48,Lookup!$B:$B,Lookup!$D:$D)</f>
        <v>1584</v>
      </c>
    </row>
    <row r="49" spans="1:13" x14ac:dyDescent="0.3">
      <c r="A49" t="s">
        <v>119</v>
      </c>
      <c r="B49" s="3">
        <v>46070</v>
      </c>
      <c r="C49" t="s">
        <v>209</v>
      </c>
      <c r="D49" t="str">
        <f>_xlfn.XLOOKUP(C49,Lookup!M49:M58,Lookup!N49:N58,"Not Found")</f>
        <v>Pallavi Rao</v>
      </c>
      <c r="E49" t="s">
        <v>39</v>
      </c>
      <c r="F49" t="s">
        <v>14</v>
      </c>
      <c r="G49" t="s">
        <v>25</v>
      </c>
      <c r="H49" t="s">
        <v>49</v>
      </c>
      <c r="I49">
        <v>4</v>
      </c>
      <c r="J49">
        <f>_xlfn.XLOOKUP(G49,Lookup!$B:$B,Lookup!$C:$C,"Not Found")</f>
        <v>350</v>
      </c>
      <c r="K49" s="2">
        <v>0.05</v>
      </c>
      <c r="L49">
        <f t="shared" si="2"/>
        <v>1330</v>
      </c>
      <c r="M49">
        <f>L49*_xlfn.XLOOKUP(G49,Lookup!$B:$B,Lookup!$D:$D)</f>
        <v>199.5</v>
      </c>
    </row>
    <row r="50" spans="1:13" x14ac:dyDescent="0.3">
      <c r="A50" t="s">
        <v>120</v>
      </c>
      <c r="B50" s="3">
        <v>46071</v>
      </c>
      <c r="C50" t="s">
        <v>210</v>
      </c>
      <c r="D50" t="str">
        <f>_xlfn.XLOOKUP(C50,Lookup!M50:M59,Lookup!N50:N59,"Not Found")</f>
        <v>Gaurav Mehta</v>
      </c>
      <c r="E50" t="s">
        <v>40</v>
      </c>
      <c r="F50" t="s">
        <v>15</v>
      </c>
      <c r="G50" t="s">
        <v>29</v>
      </c>
      <c r="H50" t="s">
        <v>42</v>
      </c>
      <c r="I50">
        <v>2</v>
      </c>
      <c r="J50">
        <f>_xlfn.XLOOKUP(G50,Lookup!$B:$B,Lookup!$C:$C,"Not Found")</f>
        <v>2499</v>
      </c>
      <c r="K50" s="2">
        <v>0.2</v>
      </c>
      <c r="L50">
        <f t="shared" si="2"/>
        <v>3998.4</v>
      </c>
      <c r="M50">
        <f>L50*_xlfn.XLOOKUP(G50,Lookup!$B:$B,Lookup!$D:$D)</f>
        <v>1119.5520000000001</v>
      </c>
    </row>
    <row r="51" spans="1:13" x14ac:dyDescent="0.3">
      <c r="A51" t="s">
        <v>121</v>
      </c>
      <c r="B51" s="3">
        <v>46072</v>
      </c>
      <c r="C51" t="s">
        <v>211</v>
      </c>
      <c r="D51" t="str">
        <f>_xlfn.XLOOKUP(C51,Lookup!M51:M60,Lookup!N51:N60,"Not Found")</f>
        <v>Reshma Nair</v>
      </c>
      <c r="E51" t="s">
        <v>35</v>
      </c>
      <c r="F51" t="s">
        <v>13</v>
      </c>
      <c r="G51" t="s">
        <v>19</v>
      </c>
      <c r="H51" t="s">
        <v>43</v>
      </c>
      <c r="I51">
        <v>3</v>
      </c>
      <c r="J51">
        <f>_xlfn.XLOOKUP(G51,Lookup!$B:$B,Lookup!$C:$C,"Not Found")</f>
        <v>5000</v>
      </c>
      <c r="K51" s="2">
        <v>0.1</v>
      </c>
      <c r="L51">
        <f t="shared" si="2"/>
        <v>13500</v>
      </c>
      <c r="M51">
        <f>L51*_xlfn.XLOOKUP(G51,Lookup!$B:$B,Lookup!$D:$D)</f>
        <v>2430</v>
      </c>
    </row>
    <row r="52" spans="1:13" x14ac:dyDescent="0.3">
      <c r="A52" t="s">
        <v>122</v>
      </c>
      <c r="B52" s="3">
        <v>46073</v>
      </c>
      <c r="C52" t="s">
        <v>212</v>
      </c>
      <c r="D52" t="str">
        <f>_xlfn.XLOOKUP(C52,Lookup!M52:M61,Lookup!N52:N61,"Not Found")</f>
        <v>Arun Reddy</v>
      </c>
      <c r="E52" t="s">
        <v>32</v>
      </c>
      <c r="F52" t="s">
        <v>13</v>
      </c>
      <c r="G52" t="s">
        <v>16</v>
      </c>
      <c r="H52" t="s">
        <v>42</v>
      </c>
      <c r="I52">
        <v>1</v>
      </c>
      <c r="J52">
        <f>_xlfn.XLOOKUP(G52,Lookup!$B:$B,Lookup!$C:$C,"Not Found")</f>
        <v>65000</v>
      </c>
      <c r="K52" s="2">
        <v>0.1</v>
      </c>
      <c r="L52">
        <f t="shared" si="2"/>
        <v>58500</v>
      </c>
      <c r="M52">
        <f>L52*_xlfn.XLOOKUP(G52,Lookup!$B:$B,Lookup!$D:$D)</f>
        <v>10530</v>
      </c>
    </row>
    <row r="53" spans="1:13" x14ac:dyDescent="0.3">
      <c r="A53" t="s">
        <v>123</v>
      </c>
      <c r="B53" s="3">
        <v>46074</v>
      </c>
      <c r="C53" t="s">
        <v>213</v>
      </c>
      <c r="D53" t="str">
        <f>_xlfn.XLOOKUP(C53,Lookup!M53:M62,Lookup!N53:N62,"Not Found")</f>
        <v>Divyansh Sharma</v>
      </c>
      <c r="E53" t="s">
        <v>81</v>
      </c>
      <c r="F53" t="s">
        <v>14</v>
      </c>
      <c r="G53" s="1" t="s">
        <v>21</v>
      </c>
      <c r="H53" t="s">
        <v>43</v>
      </c>
      <c r="I53">
        <v>3</v>
      </c>
      <c r="J53">
        <f>_xlfn.XLOOKUP(G53,Lookup!$B:$B,Lookup!$C:$C,"Not Found")</f>
        <v>1200</v>
      </c>
      <c r="K53" s="2">
        <v>0.05</v>
      </c>
      <c r="L53">
        <f t="shared" si="2"/>
        <v>3420</v>
      </c>
      <c r="M53">
        <f>L53*_xlfn.XLOOKUP(G53,Lookup!$B:$B,Lookup!$D:$D)</f>
        <v>342</v>
      </c>
    </row>
    <row r="54" spans="1:13" x14ac:dyDescent="0.3">
      <c r="A54" t="s">
        <v>124</v>
      </c>
      <c r="B54" s="3">
        <v>46075</v>
      </c>
      <c r="C54" t="s">
        <v>214</v>
      </c>
      <c r="D54" t="str">
        <f>_xlfn.XLOOKUP(C54,Lookup!M54:M63,Lookup!N54:N63,"Not Found")</f>
        <v>Sahana Iyer</v>
      </c>
      <c r="E54" t="s">
        <v>34</v>
      </c>
      <c r="F54" t="s">
        <v>15</v>
      </c>
      <c r="G54" t="s">
        <v>26</v>
      </c>
      <c r="H54" t="s">
        <v>44</v>
      </c>
      <c r="I54">
        <v>2</v>
      </c>
      <c r="J54">
        <f>_xlfn.XLOOKUP(G54,Lookup!$B:$B,Lookup!$C:$C,"Not Found")</f>
        <v>799</v>
      </c>
      <c r="K54" s="2">
        <v>0.15</v>
      </c>
      <c r="L54">
        <f t="shared" si="2"/>
        <v>1358.3</v>
      </c>
      <c r="M54">
        <f>L54*_xlfn.XLOOKUP(G54,Lookup!$B:$B,Lookup!$D:$D)</f>
        <v>339.57499999999999</v>
      </c>
    </row>
    <row r="55" spans="1:13" x14ac:dyDescent="0.3">
      <c r="A55" t="s">
        <v>125</v>
      </c>
      <c r="B55" s="3">
        <v>46076</v>
      </c>
      <c r="C55" t="s">
        <v>215</v>
      </c>
      <c r="D55" t="str">
        <f>_xlfn.XLOOKUP(C55,Lookup!M55:M64,Lookup!N55:N64,"Not Found")</f>
        <v>Rohit Verma</v>
      </c>
      <c r="E55" t="s">
        <v>36</v>
      </c>
      <c r="F55" t="s">
        <v>13</v>
      </c>
      <c r="G55" t="s">
        <v>17</v>
      </c>
      <c r="H55" t="s">
        <v>45</v>
      </c>
      <c r="I55">
        <v>1</v>
      </c>
      <c r="J55">
        <f>_xlfn.XLOOKUP(G55,Lookup!$B:$B,Lookup!$C:$C,"Not Found")</f>
        <v>25000</v>
      </c>
      <c r="K55" s="2">
        <v>0.08</v>
      </c>
      <c r="L55">
        <f t="shared" si="2"/>
        <v>23000</v>
      </c>
      <c r="M55">
        <f>L55*_xlfn.XLOOKUP(G55,Lookup!$B:$B,Lookup!$D:$D)</f>
        <v>3450</v>
      </c>
    </row>
    <row r="56" spans="1:13" x14ac:dyDescent="0.3">
      <c r="A56" t="s">
        <v>126</v>
      </c>
      <c r="B56" s="3">
        <v>46077</v>
      </c>
      <c r="C56" t="s">
        <v>216</v>
      </c>
      <c r="D56" t="str">
        <f>_xlfn.XLOOKUP(C56,Lookup!M56:M65,Lookup!N56:N65,"Not Found")</f>
        <v>Ishita Patel</v>
      </c>
      <c r="E56" t="s">
        <v>37</v>
      </c>
      <c r="F56" t="s">
        <v>14</v>
      </c>
      <c r="G56" t="s">
        <v>22</v>
      </c>
      <c r="H56" t="s">
        <v>46</v>
      </c>
      <c r="I56">
        <v>5</v>
      </c>
      <c r="J56">
        <f>_xlfn.XLOOKUP(G56,Lookup!$B:$B,Lookup!$C:$C,"Not Found")</f>
        <v>60</v>
      </c>
      <c r="K56" s="2">
        <v>0</v>
      </c>
      <c r="L56">
        <f t="shared" si="2"/>
        <v>300</v>
      </c>
      <c r="M56">
        <f>L56*_xlfn.XLOOKUP(G56,Lookup!$B:$B,Lookup!$D:$D)</f>
        <v>24</v>
      </c>
    </row>
    <row r="57" spans="1:13" x14ac:dyDescent="0.3">
      <c r="A57" t="s">
        <v>127</v>
      </c>
      <c r="B57" s="3">
        <v>46078</v>
      </c>
      <c r="C57" t="s">
        <v>217</v>
      </c>
      <c r="D57" t="str">
        <f>_xlfn.XLOOKUP(C57,Lookup!M57:M66,Lookup!N57:N66,"Not Found")</f>
        <v>Kiran Kumar</v>
      </c>
      <c r="E57" t="s">
        <v>32</v>
      </c>
      <c r="F57" t="s">
        <v>15</v>
      </c>
      <c r="G57" t="s">
        <v>27</v>
      </c>
      <c r="H57" t="s">
        <v>47</v>
      </c>
      <c r="I57">
        <v>2</v>
      </c>
      <c r="J57">
        <f>_xlfn.XLOOKUP(G57,Lookup!$B:$B,Lookup!$C:$C,"Not Found")</f>
        <v>1999</v>
      </c>
      <c r="K57" s="2">
        <v>0.1</v>
      </c>
      <c r="L57">
        <f t="shared" si="2"/>
        <v>3598.2000000000003</v>
      </c>
      <c r="M57">
        <f>L57*_xlfn.XLOOKUP(G57,Lookup!$B:$B,Lookup!$D:$D)</f>
        <v>1079.46</v>
      </c>
    </row>
    <row r="58" spans="1:13" x14ac:dyDescent="0.3">
      <c r="A58" t="s">
        <v>128</v>
      </c>
      <c r="B58" s="3">
        <v>46079</v>
      </c>
      <c r="C58" t="s">
        <v>218</v>
      </c>
      <c r="D58" t="str">
        <f>_xlfn.XLOOKUP(C58,Lookup!M58:M67,Lookup!N58:N67,"Not Found")</f>
        <v>Snehal  Das</v>
      </c>
      <c r="E58" t="s">
        <v>38</v>
      </c>
      <c r="F58" t="s">
        <v>13</v>
      </c>
      <c r="G58" t="s">
        <v>20</v>
      </c>
      <c r="H58" t="s">
        <v>48</v>
      </c>
      <c r="I58">
        <v>1</v>
      </c>
      <c r="J58">
        <f>_xlfn.XLOOKUP(G58,Lookup!$B:$B,Lookup!$C:$C,"Not Found")</f>
        <v>12000</v>
      </c>
      <c r="K58" s="2">
        <v>0.12</v>
      </c>
      <c r="L58">
        <f t="shared" si="2"/>
        <v>10560</v>
      </c>
      <c r="M58">
        <f>L58*_xlfn.XLOOKUP(G58,Lookup!$B:$B,Lookup!$D:$D)</f>
        <v>1584</v>
      </c>
    </row>
    <row r="59" spans="1:13" x14ac:dyDescent="0.3">
      <c r="A59" t="s">
        <v>129</v>
      </c>
      <c r="B59" s="3">
        <v>46080</v>
      </c>
      <c r="C59" t="s">
        <v>219</v>
      </c>
      <c r="D59" t="str">
        <f>_xlfn.XLOOKUP(C59,Lookup!M59:M68,Lookup!N59:N68,"Not Found")</f>
        <v>Tarun Singh</v>
      </c>
      <c r="E59" t="s">
        <v>39</v>
      </c>
      <c r="F59" t="s">
        <v>14</v>
      </c>
      <c r="G59" t="s">
        <v>25</v>
      </c>
      <c r="H59" t="s">
        <v>49</v>
      </c>
      <c r="I59">
        <v>4</v>
      </c>
      <c r="J59">
        <f>_xlfn.XLOOKUP(G59,Lookup!$B:$B,Lookup!$C:$C,"Not Found")</f>
        <v>350</v>
      </c>
      <c r="K59" s="2">
        <v>0.05</v>
      </c>
      <c r="L59">
        <f t="shared" si="2"/>
        <v>1330</v>
      </c>
      <c r="M59">
        <f>L59*_xlfn.XLOOKUP(G59,Lookup!$B:$B,Lookup!$D:$D)</f>
        <v>199.5</v>
      </c>
    </row>
    <row r="60" spans="1:13" x14ac:dyDescent="0.3">
      <c r="A60" t="s">
        <v>130</v>
      </c>
      <c r="B60" s="3">
        <v>46081</v>
      </c>
      <c r="C60" t="s">
        <v>220</v>
      </c>
      <c r="D60" t="str">
        <f>_xlfn.XLOOKUP(C60,Lookup!M60:M69,Lookup!N60:N69,"Not Found")</f>
        <v>Nandini Rao</v>
      </c>
      <c r="E60" t="s">
        <v>40</v>
      </c>
      <c r="F60" t="s">
        <v>15</v>
      </c>
      <c r="G60" t="s">
        <v>29</v>
      </c>
      <c r="H60" t="s">
        <v>42</v>
      </c>
      <c r="I60">
        <v>2</v>
      </c>
      <c r="J60">
        <f>_xlfn.XLOOKUP(G60,Lookup!$B:$B,Lookup!$C:$C,"Not Found")</f>
        <v>2499</v>
      </c>
      <c r="K60" s="2">
        <v>0.2</v>
      </c>
      <c r="L60">
        <f t="shared" si="2"/>
        <v>3998.4</v>
      </c>
      <c r="M60">
        <f>L60*_xlfn.XLOOKUP(G60,Lookup!$B:$B,Lookup!$D:$D)</f>
        <v>1119.5520000000001</v>
      </c>
    </row>
    <row r="61" spans="1:13" x14ac:dyDescent="0.3">
      <c r="A61" t="s">
        <v>131</v>
      </c>
      <c r="B61" s="3">
        <v>46082</v>
      </c>
      <c r="C61" t="s">
        <v>221</v>
      </c>
      <c r="D61" t="str">
        <f>_xlfn.XLOOKUP(C61,Lookup!M61:M70,Lookup!N61:N70,"Not Found")</f>
        <v>Manish Gupta</v>
      </c>
      <c r="E61" t="s">
        <v>35</v>
      </c>
      <c r="F61" t="s">
        <v>13</v>
      </c>
      <c r="G61" t="s">
        <v>19</v>
      </c>
      <c r="H61" t="s">
        <v>43</v>
      </c>
      <c r="I61">
        <v>3</v>
      </c>
      <c r="J61">
        <f>_xlfn.XLOOKUP(G61,Lookup!$B:$B,Lookup!$C:$C,"Not Found")</f>
        <v>5000</v>
      </c>
      <c r="K61" s="2">
        <v>0.1</v>
      </c>
      <c r="L61">
        <f t="shared" si="2"/>
        <v>13500</v>
      </c>
      <c r="M61">
        <f>L61*_xlfn.XLOOKUP(G61,Lookup!$B:$B,Lookup!$D:$D)</f>
        <v>2430</v>
      </c>
    </row>
    <row r="62" spans="1:13" x14ac:dyDescent="0.3">
      <c r="A62" t="s">
        <v>132</v>
      </c>
      <c r="B62" s="3">
        <v>46083</v>
      </c>
      <c r="C62" t="s">
        <v>222</v>
      </c>
      <c r="D62" t="str">
        <f>_xlfn.XLOOKUP(C62,Lookup!M62:M71,Lookup!N62:N71,"Not Found")</f>
        <v>Chandan Kumar</v>
      </c>
      <c r="E62" t="s">
        <v>32</v>
      </c>
      <c r="F62" t="s">
        <v>13</v>
      </c>
      <c r="G62" t="s">
        <v>16</v>
      </c>
      <c r="H62" t="s">
        <v>42</v>
      </c>
      <c r="I62">
        <v>1</v>
      </c>
      <c r="J62">
        <f>_xlfn.XLOOKUP(G62,Lookup!$B:$B,Lookup!$C:$C,"Not Found")</f>
        <v>65000</v>
      </c>
      <c r="K62" s="2">
        <v>0.1</v>
      </c>
      <c r="L62">
        <f t="shared" si="2"/>
        <v>58500</v>
      </c>
      <c r="M62">
        <f>L62*_xlfn.XLOOKUP(G62,Lookup!$B:$B,Lookup!$D:$D)</f>
        <v>10530</v>
      </c>
    </row>
    <row r="63" spans="1:13" x14ac:dyDescent="0.3">
      <c r="A63" t="s">
        <v>133</v>
      </c>
      <c r="B63" s="3">
        <v>46084</v>
      </c>
      <c r="C63" t="s">
        <v>223</v>
      </c>
      <c r="D63" t="str">
        <f>_xlfn.XLOOKUP(C63,Lookup!M63:M72,Lookup!N63:N72,"Not Found")</f>
        <v>Rachana Nair</v>
      </c>
      <c r="E63" t="s">
        <v>81</v>
      </c>
      <c r="F63" t="s">
        <v>14</v>
      </c>
      <c r="G63" s="1" t="s">
        <v>21</v>
      </c>
      <c r="H63" t="s">
        <v>43</v>
      </c>
      <c r="I63">
        <v>3</v>
      </c>
      <c r="J63">
        <f>_xlfn.XLOOKUP(G63,Lookup!$B:$B,Lookup!$C:$C,"Not Found")</f>
        <v>1200</v>
      </c>
      <c r="K63" s="2">
        <v>0.05</v>
      </c>
      <c r="L63">
        <f t="shared" si="2"/>
        <v>3420</v>
      </c>
      <c r="M63">
        <f>L63*_xlfn.XLOOKUP(G63,Lookup!$B:$B,Lookup!$D:$D)</f>
        <v>342</v>
      </c>
    </row>
    <row r="64" spans="1:13" x14ac:dyDescent="0.3">
      <c r="A64" t="s">
        <v>134</v>
      </c>
      <c r="B64" s="3">
        <v>46085</v>
      </c>
      <c r="C64" t="s">
        <v>224</v>
      </c>
      <c r="D64" t="str">
        <f>_xlfn.XLOOKUP(C64,Lookup!M64:M73,Lookup!N64:N73,"Not Found")</f>
        <v>Akhil Reddy</v>
      </c>
      <c r="E64" t="s">
        <v>34</v>
      </c>
      <c r="F64" t="s">
        <v>15</v>
      </c>
      <c r="G64" t="s">
        <v>26</v>
      </c>
      <c r="H64" t="s">
        <v>44</v>
      </c>
      <c r="I64">
        <v>2</v>
      </c>
      <c r="J64">
        <f>_xlfn.XLOOKUP(G64,Lookup!$B:$B,Lookup!$C:$C,"Not Found")</f>
        <v>799</v>
      </c>
      <c r="K64" s="2">
        <v>0.15</v>
      </c>
      <c r="L64">
        <f t="shared" si="2"/>
        <v>1358.3</v>
      </c>
      <c r="M64">
        <f>L64*_xlfn.XLOOKUP(G64,Lookup!$B:$B,Lookup!$D:$D)</f>
        <v>339.57499999999999</v>
      </c>
    </row>
    <row r="65" spans="1:13" x14ac:dyDescent="0.3">
      <c r="A65" t="s">
        <v>135</v>
      </c>
      <c r="B65" s="3">
        <v>46086</v>
      </c>
      <c r="C65" t="s">
        <v>225</v>
      </c>
      <c r="D65" t="str">
        <f>_xlfn.XLOOKUP(C65,Lookup!M65:M74,Lookup!N65:N74,"Not Found")</f>
        <v>Monika Sharma</v>
      </c>
      <c r="E65" t="s">
        <v>36</v>
      </c>
      <c r="F65" t="s">
        <v>13</v>
      </c>
      <c r="G65" t="s">
        <v>17</v>
      </c>
      <c r="H65" t="s">
        <v>45</v>
      </c>
      <c r="I65">
        <v>1</v>
      </c>
      <c r="J65">
        <f>_xlfn.XLOOKUP(G65,Lookup!$B:$B,Lookup!$C:$C,"Not Found")</f>
        <v>25000</v>
      </c>
      <c r="K65" s="2">
        <v>0.08</v>
      </c>
      <c r="L65">
        <f t="shared" si="2"/>
        <v>23000</v>
      </c>
      <c r="M65">
        <f>L65*_xlfn.XLOOKUP(G65,Lookup!$B:$B,Lookup!$D:$D)</f>
        <v>3450</v>
      </c>
    </row>
    <row r="66" spans="1:13" x14ac:dyDescent="0.3">
      <c r="A66" t="s">
        <v>136</v>
      </c>
      <c r="B66" s="3">
        <v>46087</v>
      </c>
      <c r="C66" t="s">
        <v>226</v>
      </c>
      <c r="D66" t="str">
        <f>_xlfn.XLOOKUP(C66,Lookup!M66:M75,Lookup!N66:N75,"Not Found")</f>
        <v>Sagar Patel</v>
      </c>
      <c r="E66" t="s">
        <v>37</v>
      </c>
      <c r="F66" t="s">
        <v>14</v>
      </c>
      <c r="G66" t="s">
        <v>22</v>
      </c>
      <c r="H66" t="s">
        <v>46</v>
      </c>
      <c r="I66">
        <v>5</v>
      </c>
      <c r="J66">
        <f>_xlfn.XLOOKUP(G66,Lookup!$B:$B,Lookup!$C:$C,"Not Found")</f>
        <v>60</v>
      </c>
      <c r="K66" s="2">
        <v>0</v>
      </c>
      <c r="L66">
        <f t="shared" si="2"/>
        <v>300</v>
      </c>
      <c r="M66">
        <f>L66*_xlfn.XLOOKUP(G66,Lookup!$B:$B,Lookup!$D:$D)</f>
        <v>24</v>
      </c>
    </row>
    <row r="67" spans="1:13" x14ac:dyDescent="0.3">
      <c r="A67" t="s">
        <v>137</v>
      </c>
      <c r="B67" s="3">
        <v>46088</v>
      </c>
      <c r="C67" t="s">
        <v>227</v>
      </c>
      <c r="D67" t="str">
        <f>_xlfn.XLOOKUP(C67,Lookup!M67:M76,Lookup!N67:N76,"Not Found")</f>
        <v>Harini Iyer</v>
      </c>
      <c r="E67" t="s">
        <v>32</v>
      </c>
      <c r="F67" t="s">
        <v>15</v>
      </c>
      <c r="G67" t="s">
        <v>27</v>
      </c>
      <c r="H67" t="s">
        <v>47</v>
      </c>
      <c r="I67">
        <v>2</v>
      </c>
      <c r="J67">
        <f>_xlfn.XLOOKUP(G67,Lookup!$B:$B,Lookup!$C:$C,"Not Found")</f>
        <v>1999</v>
      </c>
      <c r="K67" s="2">
        <v>0.1</v>
      </c>
      <c r="L67">
        <f t="shared" si="2"/>
        <v>3598.2000000000003</v>
      </c>
      <c r="M67">
        <f>L67*_xlfn.XLOOKUP(G67,Lookup!$B:$B,Lookup!$D:$D)</f>
        <v>1079.46</v>
      </c>
    </row>
    <row r="68" spans="1:13" x14ac:dyDescent="0.3">
      <c r="A68" t="s">
        <v>138</v>
      </c>
      <c r="B68" s="3">
        <v>46089</v>
      </c>
      <c r="C68" t="s">
        <v>228</v>
      </c>
      <c r="D68" t="str">
        <f>_xlfn.XLOOKUP(C68,Lookup!M68:M77,Lookup!N68:N77,"Not Found")</f>
        <v>Deepak Verma</v>
      </c>
      <c r="E68" t="s">
        <v>38</v>
      </c>
      <c r="F68" t="s">
        <v>13</v>
      </c>
      <c r="G68" t="s">
        <v>20</v>
      </c>
      <c r="H68" t="s">
        <v>48</v>
      </c>
      <c r="I68">
        <v>1</v>
      </c>
      <c r="J68">
        <f>_xlfn.XLOOKUP(G68,Lookup!$B:$B,Lookup!$C:$C,"Not Found")</f>
        <v>12000</v>
      </c>
      <c r="K68" s="2">
        <v>0.12</v>
      </c>
      <c r="L68">
        <f t="shared" si="2"/>
        <v>10560</v>
      </c>
      <c r="M68">
        <f>L68*_xlfn.XLOOKUP(G68,Lookup!$B:$B,Lookup!$D:$D)</f>
        <v>1584</v>
      </c>
    </row>
    <row r="69" spans="1:13" x14ac:dyDescent="0.3">
      <c r="A69" t="s">
        <v>139</v>
      </c>
      <c r="B69" s="3">
        <v>46090</v>
      </c>
      <c r="C69" t="s">
        <v>229</v>
      </c>
      <c r="D69" t="str">
        <f>_xlfn.XLOOKUP(C69,Lookup!M69:M78,Lookup!N69:N78,"Not Found")</f>
        <v>Preethi Rao</v>
      </c>
      <c r="E69" t="s">
        <v>39</v>
      </c>
      <c r="F69" t="s">
        <v>14</v>
      </c>
      <c r="G69" t="s">
        <v>25</v>
      </c>
      <c r="H69" t="s">
        <v>49</v>
      </c>
      <c r="I69">
        <v>4</v>
      </c>
      <c r="J69">
        <f>_xlfn.XLOOKUP(G69,Lookup!$B:$B,Lookup!$C:$C,"Not Found")</f>
        <v>350</v>
      </c>
      <c r="K69" s="2">
        <v>0.05</v>
      </c>
      <c r="L69">
        <f t="shared" si="2"/>
        <v>1330</v>
      </c>
      <c r="M69">
        <f>L69*_xlfn.XLOOKUP(G69,Lookup!$B:$B,Lookup!$D:$D)</f>
        <v>199.5</v>
      </c>
    </row>
    <row r="70" spans="1:13" x14ac:dyDescent="0.3">
      <c r="A70" t="s">
        <v>140</v>
      </c>
      <c r="B70" s="3">
        <v>46091</v>
      </c>
      <c r="C70" t="s">
        <v>230</v>
      </c>
      <c r="D70" t="str">
        <f>_xlfn.XLOOKUP(C70,Lookup!M70:M79,Lookup!N70:N79,"Not Found")</f>
        <v>Vinay Kumar</v>
      </c>
      <c r="E70" t="s">
        <v>40</v>
      </c>
      <c r="F70" t="s">
        <v>15</v>
      </c>
      <c r="G70" t="s">
        <v>29</v>
      </c>
      <c r="H70" t="s">
        <v>42</v>
      </c>
      <c r="I70">
        <v>2</v>
      </c>
      <c r="J70">
        <f>_xlfn.XLOOKUP(G70,Lookup!$B:$B,Lookup!$C:$C,"Not Found")</f>
        <v>2499</v>
      </c>
      <c r="K70" s="2">
        <v>0.2</v>
      </c>
      <c r="L70">
        <f t="shared" si="2"/>
        <v>3998.4</v>
      </c>
      <c r="M70">
        <f>L70*_xlfn.XLOOKUP(G70,Lookup!$B:$B,Lookup!$D:$D)</f>
        <v>1119.5520000000001</v>
      </c>
    </row>
    <row r="71" spans="1:13" x14ac:dyDescent="0.3">
      <c r="A71" t="s">
        <v>141</v>
      </c>
      <c r="B71" s="3">
        <v>46092</v>
      </c>
      <c r="C71" t="s">
        <v>231</v>
      </c>
      <c r="D71" t="str">
        <f>_xlfn.XLOOKUP(C71,Lookup!M71:M80,Lookup!N71:N80,"Not Found")</f>
        <v>Aarti Singh</v>
      </c>
      <c r="E71" t="s">
        <v>35</v>
      </c>
      <c r="F71" t="s">
        <v>13</v>
      </c>
      <c r="G71" t="s">
        <v>19</v>
      </c>
      <c r="H71" t="s">
        <v>43</v>
      </c>
      <c r="I71">
        <v>3</v>
      </c>
      <c r="J71">
        <f>_xlfn.XLOOKUP(G71,Lookup!$B:$B,Lookup!$C:$C,"Not Found")</f>
        <v>5000</v>
      </c>
      <c r="K71" s="2">
        <v>0.1</v>
      </c>
      <c r="L71">
        <f t="shared" si="2"/>
        <v>13500</v>
      </c>
      <c r="M71">
        <f>L71*_xlfn.XLOOKUP(G71,Lookup!$B:$B,Lookup!$D:$D)</f>
        <v>2430</v>
      </c>
    </row>
    <row r="72" spans="1:13" x14ac:dyDescent="0.3">
      <c r="A72" t="s">
        <v>142</v>
      </c>
      <c r="B72" s="3">
        <v>46093</v>
      </c>
      <c r="C72" t="s">
        <v>232</v>
      </c>
      <c r="D72" t="str">
        <f>_xlfn.XLOOKUP(C72,Lookup!M72:M81,Lookup!N72:N81,"Not Found")</f>
        <v>Yash Mehta</v>
      </c>
      <c r="E72" t="s">
        <v>32</v>
      </c>
      <c r="F72" t="s">
        <v>13</v>
      </c>
      <c r="G72" t="s">
        <v>16</v>
      </c>
      <c r="H72" t="s">
        <v>42</v>
      </c>
      <c r="I72">
        <v>1</v>
      </c>
      <c r="J72">
        <f>_xlfn.XLOOKUP(G72,Lookup!$B:$B,Lookup!$C:$C,"Not Found")</f>
        <v>65000</v>
      </c>
      <c r="K72" s="2">
        <v>0.1</v>
      </c>
      <c r="L72">
        <f t="shared" si="2"/>
        <v>58500</v>
      </c>
      <c r="M72">
        <f>L72*_xlfn.XLOOKUP(G72,Lookup!$B:$B,Lookup!$D:$D)</f>
        <v>10530</v>
      </c>
    </row>
    <row r="73" spans="1:13" x14ac:dyDescent="0.3">
      <c r="A73" t="s">
        <v>143</v>
      </c>
      <c r="B73" s="3">
        <v>46094</v>
      </c>
      <c r="C73" t="s">
        <v>233</v>
      </c>
      <c r="D73" t="str">
        <f>_xlfn.XLOOKUP(C73,Lookup!M73:M82,Lookup!N73:N82,"Not Found")</f>
        <v>Priyanka Das</v>
      </c>
      <c r="E73" t="s">
        <v>81</v>
      </c>
      <c r="F73" t="s">
        <v>14</v>
      </c>
      <c r="G73" s="1" t="s">
        <v>21</v>
      </c>
      <c r="H73" t="s">
        <v>43</v>
      </c>
      <c r="I73">
        <v>3</v>
      </c>
      <c r="J73">
        <f>_xlfn.XLOOKUP(G73,Lookup!$B:$B,Lookup!$C:$C,"Not Found")</f>
        <v>1200</v>
      </c>
      <c r="K73" s="2">
        <v>0.05</v>
      </c>
      <c r="L73">
        <f t="shared" si="2"/>
        <v>3420</v>
      </c>
      <c r="M73">
        <f>L73*_xlfn.XLOOKUP(G73,Lookup!$B:$B,Lookup!$D:$D)</f>
        <v>342</v>
      </c>
    </row>
    <row r="74" spans="1:13" x14ac:dyDescent="0.3">
      <c r="A74" t="s">
        <v>144</v>
      </c>
      <c r="B74" s="3">
        <v>46095</v>
      </c>
      <c r="C74" t="s">
        <v>234</v>
      </c>
      <c r="D74" t="str">
        <f>_xlfn.XLOOKUP(C74,Lookup!M74:M83,Lookup!N74:N83,"Not Found")</f>
        <v>Tejas Nair</v>
      </c>
      <c r="E74" t="s">
        <v>34</v>
      </c>
      <c r="F74" t="s">
        <v>15</v>
      </c>
      <c r="G74" t="s">
        <v>26</v>
      </c>
      <c r="H74" t="s">
        <v>44</v>
      </c>
      <c r="I74">
        <v>2</v>
      </c>
      <c r="J74">
        <f>_xlfn.XLOOKUP(G74,Lookup!$B:$B,Lookup!$C:$C,"Not Found")</f>
        <v>799</v>
      </c>
      <c r="K74" s="2">
        <v>0.15</v>
      </c>
      <c r="L74">
        <f t="shared" si="2"/>
        <v>1358.3</v>
      </c>
      <c r="M74">
        <f>L74*_xlfn.XLOOKUP(G74,Lookup!$B:$B,Lookup!$D:$D)</f>
        <v>339.57499999999999</v>
      </c>
    </row>
    <row r="75" spans="1:13" x14ac:dyDescent="0.3">
      <c r="A75" t="s">
        <v>145</v>
      </c>
      <c r="B75" s="3">
        <v>46096</v>
      </c>
      <c r="C75" t="s">
        <v>235</v>
      </c>
      <c r="D75" t="str">
        <f>_xlfn.XLOOKUP(C75,Lookup!M75:M84,Lookup!N75:N84,"Not Found")</f>
        <v>Komal Gupta</v>
      </c>
      <c r="E75" t="s">
        <v>36</v>
      </c>
      <c r="F75" t="s">
        <v>13</v>
      </c>
      <c r="G75" t="s">
        <v>17</v>
      </c>
      <c r="H75" t="s">
        <v>45</v>
      </c>
      <c r="I75">
        <v>1</v>
      </c>
      <c r="J75">
        <f>_xlfn.XLOOKUP(G75,Lookup!$B:$B,Lookup!$C:$C,"Not Found")</f>
        <v>25000</v>
      </c>
      <c r="K75" s="2">
        <v>0.08</v>
      </c>
      <c r="L75">
        <f t="shared" si="2"/>
        <v>23000</v>
      </c>
      <c r="M75">
        <f>L75*_xlfn.XLOOKUP(G75,Lookup!$B:$B,Lookup!$D:$D)</f>
        <v>3450</v>
      </c>
    </row>
    <row r="76" spans="1:13" x14ac:dyDescent="0.3">
      <c r="A76" t="s">
        <v>146</v>
      </c>
      <c r="B76" s="3">
        <v>46097</v>
      </c>
      <c r="C76" t="s">
        <v>236</v>
      </c>
      <c r="D76" t="str">
        <f>_xlfn.XLOOKUP(C76,Lookup!M76:M85,Lookup!N76:N85,"Not Found")</f>
        <v>Siddharth Rao</v>
      </c>
      <c r="E76" t="s">
        <v>37</v>
      </c>
      <c r="F76" t="s">
        <v>14</v>
      </c>
      <c r="G76" t="s">
        <v>22</v>
      </c>
      <c r="H76" t="s">
        <v>46</v>
      </c>
      <c r="I76">
        <v>5</v>
      </c>
      <c r="J76">
        <f>_xlfn.XLOOKUP(G76,Lookup!$B:$B,Lookup!$C:$C,"Not Found")</f>
        <v>60</v>
      </c>
      <c r="K76" s="2">
        <v>0</v>
      </c>
      <c r="L76">
        <f t="shared" ref="L76:L101" si="3">I76*J76*(1-K76)</f>
        <v>300</v>
      </c>
      <c r="M76">
        <f>L76*_xlfn.XLOOKUP(G76,Lookup!$B:$B,Lookup!$D:$D)</f>
        <v>24</v>
      </c>
    </row>
    <row r="77" spans="1:13" x14ac:dyDescent="0.3">
      <c r="A77" t="s">
        <v>147</v>
      </c>
      <c r="B77" s="3">
        <v>46098</v>
      </c>
      <c r="C77" t="s">
        <v>237</v>
      </c>
      <c r="D77" t="str">
        <f>_xlfn.XLOOKUP(C77,Lookup!M77:M86,Lookup!N77:N86,"Not Found")</f>
        <v>Bhavya Sharma</v>
      </c>
      <c r="E77" t="s">
        <v>32</v>
      </c>
      <c r="F77" t="s">
        <v>15</v>
      </c>
      <c r="G77" t="s">
        <v>27</v>
      </c>
      <c r="H77" t="s">
        <v>47</v>
      </c>
      <c r="I77">
        <v>2</v>
      </c>
      <c r="J77">
        <f>_xlfn.XLOOKUP(G77,Lookup!$B:$B,Lookup!$C:$C,"Not Found")</f>
        <v>1999</v>
      </c>
      <c r="K77" s="2">
        <v>0.1</v>
      </c>
      <c r="L77">
        <f t="shared" si="3"/>
        <v>3598.2000000000003</v>
      </c>
      <c r="M77">
        <f>L77*_xlfn.XLOOKUP(G77,Lookup!$B:$B,Lookup!$D:$D)</f>
        <v>1079.46</v>
      </c>
    </row>
    <row r="78" spans="1:13" x14ac:dyDescent="0.3">
      <c r="A78" t="s">
        <v>148</v>
      </c>
      <c r="B78" s="3">
        <v>46099</v>
      </c>
      <c r="C78" t="s">
        <v>238</v>
      </c>
      <c r="D78" t="str">
        <f>_xlfn.XLOOKUP(C78,Lookup!M78:M87,Lookup!N78:N87,"Not Found")</f>
        <v>Hemant  Patel</v>
      </c>
      <c r="E78" t="s">
        <v>38</v>
      </c>
      <c r="F78" t="s">
        <v>13</v>
      </c>
      <c r="G78" t="s">
        <v>20</v>
      </c>
      <c r="H78" t="s">
        <v>48</v>
      </c>
      <c r="I78">
        <v>1</v>
      </c>
      <c r="J78">
        <f>_xlfn.XLOOKUP(G78,Lookup!$B:$B,Lookup!$C:$C,"Not Found")</f>
        <v>12000</v>
      </c>
      <c r="K78" s="2">
        <v>0.12</v>
      </c>
      <c r="L78">
        <f t="shared" si="3"/>
        <v>10560</v>
      </c>
      <c r="M78">
        <f>L78*_xlfn.XLOOKUP(G78,Lookup!$B:$B,Lookup!$D:$D)</f>
        <v>1584</v>
      </c>
    </row>
    <row r="79" spans="1:13" x14ac:dyDescent="0.3">
      <c r="A79" t="s">
        <v>149</v>
      </c>
      <c r="B79" s="3">
        <v>46100</v>
      </c>
      <c r="C79" t="s">
        <v>239</v>
      </c>
      <c r="D79" t="str">
        <f>_xlfn.XLOOKUP(C79,Lookup!M79:M88,Lookup!N79:N88,"Not Found")</f>
        <v>Anusha Reddy</v>
      </c>
      <c r="E79" t="s">
        <v>39</v>
      </c>
      <c r="F79" t="s">
        <v>14</v>
      </c>
      <c r="G79" t="s">
        <v>25</v>
      </c>
      <c r="H79" t="s">
        <v>49</v>
      </c>
      <c r="I79">
        <v>4</v>
      </c>
      <c r="J79">
        <f>_xlfn.XLOOKUP(G79,Lookup!$B:$B,Lookup!$C:$C,"Not Found")</f>
        <v>350</v>
      </c>
      <c r="K79" s="2">
        <v>0.05</v>
      </c>
      <c r="L79">
        <f t="shared" si="3"/>
        <v>1330</v>
      </c>
      <c r="M79">
        <f>L79*_xlfn.XLOOKUP(G79,Lookup!$B:$B,Lookup!$D:$D)</f>
        <v>199.5</v>
      </c>
    </row>
    <row r="80" spans="1:13" x14ac:dyDescent="0.3">
      <c r="A80" t="s">
        <v>150</v>
      </c>
      <c r="B80" s="3">
        <v>46101</v>
      </c>
      <c r="C80" t="s">
        <v>240</v>
      </c>
      <c r="D80" t="str">
        <f>_xlfn.XLOOKUP(C80,Lookup!M80:M89,Lookup!N80:N89,"Not Found")</f>
        <v>Rakesh Kumar</v>
      </c>
      <c r="E80" t="s">
        <v>40</v>
      </c>
      <c r="F80" t="s">
        <v>15</v>
      </c>
      <c r="G80" t="s">
        <v>29</v>
      </c>
      <c r="H80" t="s">
        <v>42</v>
      </c>
      <c r="I80">
        <v>2</v>
      </c>
      <c r="J80">
        <f>_xlfn.XLOOKUP(G80,Lookup!$B:$B,Lookup!$C:$C,"Not Found")</f>
        <v>2499</v>
      </c>
      <c r="K80" s="2">
        <v>0.2</v>
      </c>
      <c r="L80">
        <f t="shared" si="3"/>
        <v>3998.4</v>
      </c>
      <c r="M80">
        <f>L80*_xlfn.XLOOKUP(G80,Lookup!$B:$B,Lookup!$D:$D)</f>
        <v>1119.5520000000001</v>
      </c>
    </row>
    <row r="81" spans="1:13" x14ac:dyDescent="0.3">
      <c r="A81" t="s">
        <v>151</v>
      </c>
      <c r="B81" s="3">
        <v>46102</v>
      </c>
      <c r="C81" t="s">
        <v>241</v>
      </c>
      <c r="D81" t="str">
        <f>_xlfn.XLOOKUP(C81,Lookup!M81:M90,Lookup!N81:N90,"Not Found")</f>
        <v>Neelam Verma</v>
      </c>
      <c r="E81" t="s">
        <v>35</v>
      </c>
      <c r="F81" t="s">
        <v>13</v>
      </c>
      <c r="G81" t="s">
        <v>19</v>
      </c>
      <c r="H81" t="s">
        <v>43</v>
      </c>
      <c r="I81">
        <v>3</v>
      </c>
      <c r="J81">
        <f>_xlfn.XLOOKUP(G81,Lookup!$B:$B,Lookup!$C:$C,"Not Found")</f>
        <v>5000</v>
      </c>
      <c r="K81" s="2">
        <v>0.1</v>
      </c>
      <c r="L81">
        <f t="shared" si="3"/>
        <v>13500</v>
      </c>
      <c r="M81">
        <f>L81*_xlfn.XLOOKUP(G81,Lookup!$B:$B,Lookup!$D:$D)</f>
        <v>2430</v>
      </c>
    </row>
    <row r="82" spans="1:13" x14ac:dyDescent="0.3">
      <c r="A82" t="s">
        <v>152</v>
      </c>
      <c r="B82" s="3">
        <v>46103</v>
      </c>
      <c r="C82" t="s">
        <v>242</v>
      </c>
      <c r="D82" t="str">
        <f>_xlfn.XLOOKUP(C82,Lookup!M82:M91,Lookup!N82:N91,"Not Found")</f>
        <v>Darshan Iyer</v>
      </c>
      <c r="E82" t="s">
        <v>32</v>
      </c>
      <c r="F82" t="s">
        <v>13</v>
      </c>
      <c r="G82" t="s">
        <v>16</v>
      </c>
      <c r="H82" t="s">
        <v>42</v>
      </c>
      <c r="I82">
        <v>1</v>
      </c>
      <c r="J82">
        <f>_xlfn.XLOOKUP(G82,Lookup!$B:$B,Lookup!$C:$C,"Not Found")</f>
        <v>65000</v>
      </c>
      <c r="K82" s="2">
        <v>0.1</v>
      </c>
      <c r="L82">
        <f t="shared" si="3"/>
        <v>58500</v>
      </c>
      <c r="M82">
        <f>L82*_xlfn.XLOOKUP(G82,Lookup!$B:$B,Lookup!$D:$D)</f>
        <v>10530</v>
      </c>
    </row>
    <row r="83" spans="1:13" x14ac:dyDescent="0.3">
      <c r="A83" t="s">
        <v>153</v>
      </c>
      <c r="B83" s="3">
        <v>46104</v>
      </c>
      <c r="C83" t="s">
        <v>243</v>
      </c>
      <c r="D83" t="str">
        <f>_xlfn.XLOOKUP(C83,Lookup!M83:M92,Lookup!N83:N92,"Not Found")</f>
        <v>Krithi Nair</v>
      </c>
      <c r="E83" t="s">
        <v>81</v>
      </c>
      <c r="F83" t="s">
        <v>14</v>
      </c>
      <c r="G83" s="1" t="s">
        <v>21</v>
      </c>
      <c r="H83" t="s">
        <v>43</v>
      </c>
      <c r="I83">
        <v>3</v>
      </c>
      <c r="J83">
        <f>_xlfn.XLOOKUP(G83,Lookup!$B:$B,Lookup!$C:$C,"Not Found")</f>
        <v>1200</v>
      </c>
      <c r="K83" s="2">
        <v>0.05</v>
      </c>
      <c r="L83">
        <f t="shared" si="3"/>
        <v>3420</v>
      </c>
      <c r="M83">
        <f>L83*_xlfn.XLOOKUP(G83,Lookup!$B:$B,Lookup!$D:$D)</f>
        <v>342</v>
      </c>
    </row>
    <row r="84" spans="1:13" x14ac:dyDescent="0.3">
      <c r="A84" t="s">
        <v>154</v>
      </c>
      <c r="B84" s="3">
        <v>46105</v>
      </c>
      <c r="C84" t="s">
        <v>244</v>
      </c>
      <c r="D84" t="str">
        <f>_xlfn.XLOOKUP(C84,Lookup!M84:M93,Lookup!N84:N93,"Not Found")</f>
        <v>Suresh Rao</v>
      </c>
      <c r="E84" t="s">
        <v>34</v>
      </c>
      <c r="F84" t="s">
        <v>15</v>
      </c>
      <c r="G84" t="s">
        <v>26</v>
      </c>
      <c r="H84" t="s">
        <v>44</v>
      </c>
      <c r="I84">
        <v>2</v>
      </c>
      <c r="J84">
        <f>_xlfn.XLOOKUP(G84,Lookup!$B:$B,Lookup!$C:$C,"Not Found")</f>
        <v>799</v>
      </c>
      <c r="K84" s="2">
        <v>0.15</v>
      </c>
      <c r="L84">
        <f t="shared" si="3"/>
        <v>1358.3</v>
      </c>
      <c r="M84">
        <f>L84*_xlfn.XLOOKUP(G84,Lookup!$B:$B,Lookup!$D:$D)</f>
        <v>339.57499999999999</v>
      </c>
    </row>
    <row r="85" spans="1:13" x14ac:dyDescent="0.3">
      <c r="A85" t="s">
        <v>155</v>
      </c>
      <c r="B85" s="3">
        <v>46106</v>
      </c>
      <c r="C85" t="s">
        <v>245</v>
      </c>
      <c r="D85" t="str">
        <f>_xlfn.XLOOKUP(C85,Lookup!M85:M94,Lookup!N85:N94,"Not Found")</f>
        <v>Riya Sharma</v>
      </c>
      <c r="E85" t="s">
        <v>36</v>
      </c>
      <c r="F85" t="s">
        <v>13</v>
      </c>
      <c r="G85" t="s">
        <v>17</v>
      </c>
      <c r="H85" t="s">
        <v>45</v>
      </c>
      <c r="I85">
        <v>1</v>
      </c>
      <c r="J85">
        <f>_xlfn.XLOOKUP(G85,Lookup!$B:$B,Lookup!$C:$C,"Not Found")</f>
        <v>25000</v>
      </c>
      <c r="K85" s="2">
        <v>0.08</v>
      </c>
      <c r="L85">
        <f t="shared" si="3"/>
        <v>23000</v>
      </c>
      <c r="M85">
        <f>L85*_xlfn.XLOOKUP(G85,Lookup!$B:$B,Lookup!$D:$D)</f>
        <v>3450</v>
      </c>
    </row>
    <row r="86" spans="1:13" x14ac:dyDescent="0.3">
      <c r="A86" t="s">
        <v>156</v>
      </c>
      <c r="B86" s="3">
        <v>46107</v>
      </c>
      <c r="C86" t="s">
        <v>246</v>
      </c>
      <c r="D86" t="str">
        <f>_xlfn.XLOOKUP(C86,Lookup!M86:M95,Lookup!N86:N95,"Not Found")</f>
        <v>Dinesh Patel</v>
      </c>
      <c r="E86" t="s">
        <v>37</v>
      </c>
      <c r="F86" t="s">
        <v>14</v>
      </c>
      <c r="G86" t="s">
        <v>22</v>
      </c>
      <c r="H86" t="s">
        <v>46</v>
      </c>
      <c r="I86">
        <v>5</v>
      </c>
      <c r="J86">
        <f>_xlfn.XLOOKUP(G86,Lookup!$B:$B,Lookup!$C:$C,"Not Found")</f>
        <v>60</v>
      </c>
      <c r="K86" s="2">
        <v>0</v>
      </c>
      <c r="L86">
        <f t="shared" si="3"/>
        <v>300</v>
      </c>
      <c r="M86">
        <f>L86*_xlfn.XLOOKUP(G86,Lookup!$B:$B,Lookup!$D:$D)</f>
        <v>24</v>
      </c>
    </row>
    <row r="87" spans="1:13" x14ac:dyDescent="0.3">
      <c r="A87" t="s">
        <v>157</v>
      </c>
      <c r="B87" s="3">
        <v>46108</v>
      </c>
      <c r="C87" t="s">
        <v>247</v>
      </c>
      <c r="D87" t="str">
        <f>_xlfn.XLOOKUP(C87,Lookup!M87:M96,Lookup!N87:N96,"Not Found")</f>
        <v>Tanvi Gupta</v>
      </c>
      <c r="E87" t="s">
        <v>32</v>
      </c>
      <c r="F87" t="s">
        <v>15</v>
      </c>
      <c r="G87" t="s">
        <v>27</v>
      </c>
      <c r="H87" t="s">
        <v>47</v>
      </c>
      <c r="I87">
        <v>2</v>
      </c>
      <c r="J87">
        <f>_xlfn.XLOOKUP(G87,Lookup!$B:$B,Lookup!$C:$C,"Not Found")</f>
        <v>1999</v>
      </c>
      <c r="K87" s="2">
        <v>0.1</v>
      </c>
      <c r="L87">
        <f t="shared" si="3"/>
        <v>3598.2000000000003</v>
      </c>
      <c r="M87">
        <f>L87*_xlfn.XLOOKUP(G87,Lookup!$B:$B,Lookup!$D:$D)</f>
        <v>1079.46</v>
      </c>
    </row>
    <row r="88" spans="1:13" x14ac:dyDescent="0.3">
      <c r="A88" t="s">
        <v>158</v>
      </c>
      <c r="B88" s="3">
        <v>46109</v>
      </c>
      <c r="C88" t="s">
        <v>248</v>
      </c>
      <c r="D88" t="str">
        <f>_xlfn.XLOOKUP(C88,Lookup!M88:M97,Lookup!N88:N97,"Not Found")</f>
        <v>Mahesh Kumar</v>
      </c>
      <c r="E88" t="s">
        <v>38</v>
      </c>
      <c r="F88" t="s">
        <v>13</v>
      </c>
      <c r="G88" t="s">
        <v>20</v>
      </c>
      <c r="H88" t="s">
        <v>48</v>
      </c>
      <c r="I88">
        <v>1</v>
      </c>
      <c r="J88">
        <f>_xlfn.XLOOKUP(G88,Lookup!$B:$B,Lookup!$C:$C,"Not Found")</f>
        <v>12000</v>
      </c>
      <c r="K88" s="2">
        <v>0.12</v>
      </c>
      <c r="L88">
        <f t="shared" si="3"/>
        <v>10560</v>
      </c>
      <c r="M88">
        <f>L88*_xlfn.XLOOKUP(G88,Lookup!$B:$B,Lookup!$D:$D)</f>
        <v>1584</v>
      </c>
    </row>
    <row r="89" spans="1:13" x14ac:dyDescent="0.3">
      <c r="A89" t="s">
        <v>159</v>
      </c>
      <c r="B89" s="3">
        <v>46110</v>
      </c>
      <c r="C89" t="s">
        <v>249</v>
      </c>
      <c r="D89" t="str">
        <f>_xlfn.XLOOKUP(C89,Lookup!M89:M98,Lookup!N89:N98,"Not Found")</f>
        <v>Vaishnavi Reddy</v>
      </c>
      <c r="E89" t="s">
        <v>39</v>
      </c>
      <c r="F89" t="s">
        <v>14</v>
      </c>
      <c r="G89" t="s">
        <v>25</v>
      </c>
      <c r="H89" t="s">
        <v>49</v>
      </c>
      <c r="I89">
        <v>4</v>
      </c>
      <c r="J89">
        <f>_xlfn.XLOOKUP(G89,Lookup!$B:$B,Lookup!$C:$C,"Not Found")</f>
        <v>350</v>
      </c>
      <c r="K89" s="2">
        <v>0.05</v>
      </c>
      <c r="L89">
        <f t="shared" si="3"/>
        <v>1330</v>
      </c>
      <c r="M89">
        <f>L89*_xlfn.XLOOKUP(G89,Lookup!$B:$B,Lookup!$D:$D)</f>
        <v>199.5</v>
      </c>
    </row>
    <row r="90" spans="1:13" x14ac:dyDescent="0.3">
      <c r="A90" t="s">
        <v>160</v>
      </c>
      <c r="B90" s="3">
        <v>46111</v>
      </c>
      <c r="C90" t="s">
        <v>250</v>
      </c>
      <c r="D90" t="str">
        <f>_xlfn.XLOOKUP(C90,Lookup!M90:M99,Lookup!N90:N99,"Not Found")</f>
        <v>Chetan Singh</v>
      </c>
      <c r="E90" t="s">
        <v>40</v>
      </c>
      <c r="F90" t="s">
        <v>15</v>
      </c>
      <c r="G90" t="s">
        <v>29</v>
      </c>
      <c r="H90" t="s">
        <v>42</v>
      </c>
      <c r="I90">
        <v>2</v>
      </c>
      <c r="J90">
        <f>_xlfn.XLOOKUP(G90,Lookup!$B:$B,Lookup!$C:$C,"Not Found")</f>
        <v>2499</v>
      </c>
      <c r="K90" s="2">
        <v>0.2</v>
      </c>
      <c r="L90">
        <f t="shared" si="3"/>
        <v>3998.4</v>
      </c>
      <c r="M90">
        <f>L90*_xlfn.XLOOKUP(G90,Lookup!$B:$B,Lookup!$D:$D)</f>
        <v>1119.5520000000001</v>
      </c>
    </row>
    <row r="91" spans="1:13" x14ac:dyDescent="0.3">
      <c r="A91" t="s">
        <v>161</v>
      </c>
      <c r="B91" s="3">
        <v>46112</v>
      </c>
      <c r="C91" t="s">
        <v>251</v>
      </c>
      <c r="D91" t="str">
        <f>_xlfn.XLOOKUP(C91,Lookup!M91:M100,Lookup!N91:N100,"Not Found")</f>
        <v>Poonam Das</v>
      </c>
      <c r="E91" t="s">
        <v>35</v>
      </c>
      <c r="F91" t="s">
        <v>13</v>
      </c>
      <c r="G91" t="s">
        <v>19</v>
      </c>
      <c r="H91" t="s">
        <v>43</v>
      </c>
      <c r="I91">
        <v>3</v>
      </c>
      <c r="J91">
        <f>_xlfn.XLOOKUP(G91,Lookup!$B:$B,Lookup!$C:$C,"Not Found")</f>
        <v>5000</v>
      </c>
      <c r="K91" s="2">
        <v>0.1</v>
      </c>
      <c r="L91">
        <f t="shared" si="3"/>
        <v>13500</v>
      </c>
      <c r="M91">
        <f>L91*_xlfn.XLOOKUP(G91,Lookup!$B:$B,Lookup!$D:$D)</f>
        <v>2430</v>
      </c>
    </row>
    <row r="92" spans="1:13" x14ac:dyDescent="0.3">
      <c r="A92" t="s">
        <v>162</v>
      </c>
      <c r="B92" s="3">
        <v>46113</v>
      </c>
      <c r="C92" t="s">
        <v>252</v>
      </c>
      <c r="D92" t="str">
        <f>_xlfn.XLOOKUP(C92,Lookup!M92:M101,Lookup!N92:N101,"Not Found")</f>
        <v>Prakash Nair</v>
      </c>
      <c r="E92" t="s">
        <v>32</v>
      </c>
      <c r="F92" t="s">
        <v>13</v>
      </c>
      <c r="G92" t="s">
        <v>16</v>
      </c>
      <c r="H92" t="s">
        <v>42</v>
      </c>
      <c r="I92">
        <v>1</v>
      </c>
      <c r="J92">
        <f>_xlfn.XLOOKUP(G92,Lookup!$B:$B,Lookup!$C:$C,"Not Found")</f>
        <v>65000</v>
      </c>
      <c r="K92" s="2">
        <v>0.1</v>
      </c>
      <c r="L92">
        <f t="shared" si="3"/>
        <v>58500</v>
      </c>
      <c r="M92">
        <f>L92*_xlfn.XLOOKUP(G92,Lookup!$B:$B,Lookup!$D:$D)</f>
        <v>10530</v>
      </c>
    </row>
    <row r="93" spans="1:13" x14ac:dyDescent="0.3">
      <c r="A93" t="s">
        <v>163</v>
      </c>
      <c r="B93" s="3">
        <v>46114</v>
      </c>
      <c r="C93" t="s">
        <v>253</v>
      </c>
      <c r="D93" t="str">
        <f>_xlfn.XLOOKUP(C93,Lookup!M93:M102,Lookup!N93:N102,"Not Found")</f>
        <v>Shalini Rao</v>
      </c>
      <c r="E93" t="s">
        <v>81</v>
      </c>
      <c r="F93" t="s">
        <v>14</v>
      </c>
      <c r="G93" s="1" t="s">
        <v>21</v>
      </c>
      <c r="H93" t="s">
        <v>43</v>
      </c>
      <c r="I93">
        <v>3</v>
      </c>
      <c r="J93">
        <f>_xlfn.XLOOKUP(G93,Lookup!$B:$B,Lookup!$C:$C,"Not Found")</f>
        <v>1200</v>
      </c>
      <c r="K93" s="2">
        <v>0.05</v>
      </c>
      <c r="L93">
        <f t="shared" si="3"/>
        <v>3420</v>
      </c>
      <c r="M93">
        <f>L93*_xlfn.XLOOKUP(G93,Lookup!$B:$B,Lookup!$D:$D)</f>
        <v>342</v>
      </c>
    </row>
    <row r="94" spans="1:13" x14ac:dyDescent="0.3">
      <c r="A94" t="s">
        <v>164</v>
      </c>
      <c r="B94" s="3">
        <v>46115</v>
      </c>
      <c r="C94" t="s">
        <v>254</v>
      </c>
      <c r="D94" t="str">
        <f>_xlfn.XLOOKUP(C94,Lookup!M94:M103,Lookup!N94:N103,"Not Found")</f>
        <v>Nikhil Gowda</v>
      </c>
      <c r="E94" t="s">
        <v>34</v>
      </c>
      <c r="F94" t="s">
        <v>15</v>
      </c>
      <c r="G94" t="s">
        <v>26</v>
      </c>
      <c r="H94" t="s">
        <v>44</v>
      </c>
      <c r="I94">
        <v>2</v>
      </c>
      <c r="J94">
        <f>_xlfn.XLOOKUP(G94,Lookup!$B:$B,Lookup!$C:$C,"Not Found")</f>
        <v>799</v>
      </c>
      <c r="K94" s="2">
        <v>0.15</v>
      </c>
      <c r="L94">
        <f t="shared" si="3"/>
        <v>1358.3</v>
      </c>
      <c r="M94">
        <f>L94*_xlfn.XLOOKUP(G94,Lookup!$B:$B,Lookup!$D:$D)</f>
        <v>339.57499999999999</v>
      </c>
    </row>
    <row r="95" spans="1:13" x14ac:dyDescent="0.3">
      <c r="A95" t="s">
        <v>165</v>
      </c>
      <c r="B95" s="3">
        <v>46116</v>
      </c>
      <c r="C95" t="s">
        <v>255</v>
      </c>
      <c r="D95" t="str">
        <f>_xlfn.XLOOKUP(C95,Lookup!M95:M104,Lookup!N95:N104,"Not Found")</f>
        <v>Gayathri Gowda</v>
      </c>
      <c r="E95" t="s">
        <v>36</v>
      </c>
      <c r="F95" t="s">
        <v>13</v>
      </c>
      <c r="G95" t="s">
        <v>17</v>
      </c>
      <c r="H95" t="s">
        <v>45</v>
      </c>
      <c r="I95">
        <v>1</v>
      </c>
      <c r="J95">
        <f>_xlfn.XLOOKUP(G95,Lookup!$B:$B,Lookup!$C:$C,"Not Found")</f>
        <v>25000</v>
      </c>
      <c r="K95" s="2">
        <v>0.08</v>
      </c>
      <c r="L95">
        <f t="shared" si="3"/>
        <v>23000</v>
      </c>
      <c r="M95">
        <f>L95*_xlfn.XLOOKUP(G95,Lookup!$B:$B,Lookup!$D:$D)</f>
        <v>3450</v>
      </c>
    </row>
    <row r="96" spans="1:13" x14ac:dyDescent="0.3">
      <c r="A96" t="s">
        <v>166</v>
      </c>
      <c r="B96" s="3">
        <v>46117</v>
      </c>
      <c r="C96" t="s">
        <v>256</v>
      </c>
      <c r="D96" t="str">
        <f>_xlfn.XLOOKUP(C96,Lookup!M96:M105,Lookup!N96:N105,"Not Found")</f>
        <v>Lokesh Kumar</v>
      </c>
      <c r="E96" t="s">
        <v>37</v>
      </c>
      <c r="F96" t="s">
        <v>14</v>
      </c>
      <c r="G96" t="s">
        <v>22</v>
      </c>
      <c r="H96" t="s">
        <v>46</v>
      </c>
      <c r="I96">
        <v>5</v>
      </c>
      <c r="J96">
        <f>_xlfn.XLOOKUP(G96,Lookup!$B:$B,Lookup!$C:$C,"Not Found")</f>
        <v>60</v>
      </c>
      <c r="K96" s="2">
        <v>0</v>
      </c>
      <c r="L96">
        <f t="shared" si="3"/>
        <v>300</v>
      </c>
      <c r="M96">
        <f>L96*_xlfn.XLOOKUP(G96,Lookup!$B:$B,Lookup!$D:$D)</f>
        <v>24</v>
      </c>
    </row>
    <row r="97" spans="1:13" x14ac:dyDescent="0.3">
      <c r="A97" t="s">
        <v>167</v>
      </c>
      <c r="B97" s="3">
        <v>46118</v>
      </c>
      <c r="C97" t="s">
        <v>257</v>
      </c>
      <c r="D97" t="str">
        <f>_xlfn.XLOOKUP(C97,Lookup!M97:M106,Lookup!N97:N106,"Not Found")</f>
        <v>Soniya patel</v>
      </c>
      <c r="E97" t="s">
        <v>32</v>
      </c>
      <c r="F97" t="s">
        <v>15</v>
      </c>
      <c r="G97" t="s">
        <v>27</v>
      </c>
      <c r="H97" t="s">
        <v>47</v>
      </c>
      <c r="I97">
        <v>2</v>
      </c>
      <c r="J97">
        <f>_xlfn.XLOOKUP(G97,Lookup!$B:$B,Lookup!$C:$C,"Not Found")</f>
        <v>1999</v>
      </c>
      <c r="K97" s="2">
        <v>0.1</v>
      </c>
      <c r="L97">
        <f t="shared" si="3"/>
        <v>3598.2000000000003</v>
      </c>
      <c r="M97">
        <f>L97*_xlfn.XLOOKUP(G97,Lookup!$B:$B,Lookup!$D:$D)</f>
        <v>1079.46</v>
      </c>
    </row>
    <row r="98" spans="1:13" x14ac:dyDescent="0.3">
      <c r="A98" t="s">
        <v>168</v>
      </c>
      <c r="B98" s="3">
        <v>46119</v>
      </c>
      <c r="C98" t="s">
        <v>258</v>
      </c>
      <c r="D98" t="str">
        <f>_xlfn.XLOOKUP(C98,Lookup!M98:M107,Lookup!N98:N107,"Not Found")</f>
        <v>Uday Kumar</v>
      </c>
      <c r="E98" t="s">
        <v>38</v>
      </c>
      <c r="F98" t="s">
        <v>13</v>
      </c>
      <c r="G98" t="s">
        <v>20</v>
      </c>
      <c r="H98" t="s">
        <v>48</v>
      </c>
      <c r="I98">
        <v>1</v>
      </c>
      <c r="J98">
        <f>_xlfn.XLOOKUP(G98,Lookup!$B:$B,Lookup!$C:$C,"Not Found")</f>
        <v>12000</v>
      </c>
      <c r="K98" s="2">
        <v>0.12</v>
      </c>
      <c r="L98">
        <f t="shared" si="3"/>
        <v>10560</v>
      </c>
      <c r="M98">
        <f>L98*_xlfn.XLOOKUP(G98,Lookup!$B:$B,Lookup!$D:$D)</f>
        <v>1584</v>
      </c>
    </row>
    <row r="99" spans="1:13" x14ac:dyDescent="0.3">
      <c r="A99" t="s">
        <v>169</v>
      </c>
      <c r="B99" s="3">
        <v>46120</v>
      </c>
      <c r="C99" t="s">
        <v>259</v>
      </c>
      <c r="D99" t="str">
        <f>_xlfn.XLOOKUP(C99,Lookup!M99:M108,Lookup!N99:N108,"Not Found")</f>
        <v>Harsha Reddy</v>
      </c>
      <c r="E99" t="s">
        <v>39</v>
      </c>
      <c r="F99" t="s">
        <v>14</v>
      </c>
      <c r="G99" t="s">
        <v>25</v>
      </c>
      <c r="H99" t="s">
        <v>49</v>
      </c>
      <c r="I99">
        <v>4</v>
      </c>
      <c r="J99">
        <f>_xlfn.XLOOKUP(G99,Lookup!$B:$B,Lookup!$C:$C,"Not Found")</f>
        <v>350</v>
      </c>
      <c r="K99" s="2">
        <v>0.05</v>
      </c>
      <c r="L99">
        <f t="shared" si="3"/>
        <v>1330</v>
      </c>
      <c r="M99">
        <f>L99*_xlfn.XLOOKUP(G99,Lookup!$B:$B,Lookup!$D:$D)</f>
        <v>199.5</v>
      </c>
    </row>
    <row r="100" spans="1:13" x14ac:dyDescent="0.3">
      <c r="A100" t="s">
        <v>170</v>
      </c>
      <c r="B100" s="3">
        <v>46121</v>
      </c>
      <c r="C100" t="s">
        <v>260</v>
      </c>
      <c r="D100" t="str">
        <f>_xlfn.XLOOKUP(C100,Lookup!M100:M109,Lookup!N100:N109,"Not Found")</f>
        <v>Keshav Mehta</v>
      </c>
      <c r="E100" t="s">
        <v>40</v>
      </c>
      <c r="F100" t="s">
        <v>15</v>
      </c>
      <c r="G100" t="s">
        <v>29</v>
      </c>
      <c r="H100" t="s">
        <v>42</v>
      </c>
      <c r="I100">
        <v>2</v>
      </c>
      <c r="J100">
        <f>_xlfn.XLOOKUP(G100,Lookup!$B:$B,Lookup!$C:$C,"Not Found")</f>
        <v>2499</v>
      </c>
      <c r="K100" s="2">
        <v>0.2</v>
      </c>
      <c r="L100">
        <f t="shared" si="3"/>
        <v>3998.4</v>
      </c>
      <c r="M100">
        <f>L100*_xlfn.XLOOKUP(G100,Lookup!$B:$B,Lookup!$D:$D)</f>
        <v>1119.5520000000001</v>
      </c>
    </row>
    <row r="101" spans="1:13" x14ac:dyDescent="0.3">
      <c r="A101" t="s">
        <v>171</v>
      </c>
      <c r="B101" s="3">
        <v>46122</v>
      </c>
      <c r="C101" t="s">
        <v>261</v>
      </c>
      <c r="D101" t="str">
        <f>_xlfn.XLOOKUP(C101,Lookup!M101:M110,Lookup!N101:N110,"Not Found")</f>
        <v>Divya Sharma</v>
      </c>
      <c r="E101" t="s">
        <v>35</v>
      </c>
      <c r="F101" t="s">
        <v>13</v>
      </c>
      <c r="G101" t="s">
        <v>19</v>
      </c>
      <c r="H101" t="s">
        <v>43</v>
      </c>
      <c r="I101">
        <v>3</v>
      </c>
      <c r="J101">
        <f>_xlfn.XLOOKUP(G101,Lookup!$B:$B,Lookup!$C:$C,"Not Found")</f>
        <v>5000</v>
      </c>
      <c r="K101" s="2">
        <v>0.1</v>
      </c>
      <c r="L101">
        <f t="shared" si="3"/>
        <v>13500</v>
      </c>
      <c r="M101">
        <f>L101*_xlfn.XLOOKUP(G101,Lookup!$B:$B,Lookup!$D:$D)</f>
        <v>2430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A9C33-5CDC-42BF-A64D-A8E87FDE65BA}">
  <dimension ref="A1:N101"/>
  <sheetViews>
    <sheetView topLeftCell="C1" workbookViewId="0">
      <selection activeCell="O95" sqref="O95"/>
    </sheetView>
  </sheetViews>
  <sheetFormatPr defaultRowHeight="14.4" x14ac:dyDescent="0.3"/>
  <cols>
    <col min="1" max="1" width="10.21875" customWidth="1"/>
    <col min="2" max="2" width="10.33203125" customWidth="1"/>
    <col min="3" max="3" width="11" customWidth="1"/>
    <col min="4" max="5" width="12.21875" customWidth="1"/>
    <col min="6" max="6" width="10.44140625" customWidth="1"/>
    <col min="7" max="7" width="13.21875" customWidth="1"/>
    <col min="8" max="8" width="10" customWidth="1"/>
    <col min="9" max="9" width="12.33203125" customWidth="1"/>
    <col min="10" max="10" width="13.109375" customWidth="1"/>
    <col min="13" max="13" width="13.109375" customWidth="1"/>
    <col min="14" max="14" width="16.33203125" customWidth="1"/>
  </cols>
  <sheetData>
    <row r="1" spans="1:14" x14ac:dyDescent="0.3">
      <c r="A1" t="s">
        <v>9</v>
      </c>
      <c r="B1" t="s">
        <v>10</v>
      </c>
      <c r="C1" t="s">
        <v>12</v>
      </c>
      <c r="D1" t="s">
        <v>70</v>
      </c>
      <c r="G1" t="s">
        <v>31</v>
      </c>
      <c r="J1" t="s">
        <v>7</v>
      </c>
      <c r="M1" t="s">
        <v>2</v>
      </c>
      <c r="N1" t="s">
        <v>8</v>
      </c>
    </row>
    <row r="2" spans="1:14" x14ac:dyDescent="0.3">
      <c r="A2" t="s">
        <v>13</v>
      </c>
      <c r="B2" t="s">
        <v>16</v>
      </c>
      <c r="C2">
        <v>65000</v>
      </c>
      <c r="D2" s="2">
        <v>0.18</v>
      </c>
      <c r="G2" t="s">
        <v>32</v>
      </c>
      <c r="J2" t="s">
        <v>42</v>
      </c>
      <c r="M2" t="s">
        <v>50</v>
      </c>
      <c r="N2" t="s">
        <v>60</v>
      </c>
    </row>
    <row r="3" spans="1:14" x14ac:dyDescent="0.3">
      <c r="A3" t="s">
        <v>13</v>
      </c>
      <c r="B3" t="s">
        <v>17</v>
      </c>
      <c r="C3">
        <v>25000</v>
      </c>
      <c r="D3" s="2">
        <v>0.15</v>
      </c>
      <c r="G3" t="s">
        <v>33</v>
      </c>
      <c r="J3" t="s">
        <v>43</v>
      </c>
      <c r="M3" t="s">
        <v>51</v>
      </c>
      <c r="N3" t="s">
        <v>61</v>
      </c>
    </row>
    <row r="4" spans="1:14" x14ac:dyDescent="0.3">
      <c r="A4" t="s">
        <v>13</v>
      </c>
      <c r="B4" t="s">
        <v>18</v>
      </c>
      <c r="C4">
        <v>2500</v>
      </c>
      <c r="D4" s="2">
        <v>0.2</v>
      </c>
      <c r="G4" t="s">
        <v>34</v>
      </c>
      <c r="J4" t="s">
        <v>44</v>
      </c>
      <c r="M4" t="s">
        <v>52</v>
      </c>
      <c r="N4" t="s">
        <v>62</v>
      </c>
    </row>
    <row r="5" spans="1:14" x14ac:dyDescent="0.3">
      <c r="A5" t="s">
        <v>13</v>
      </c>
      <c r="B5" t="s">
        <v>19</v>
      </c>
      <c r="C5">
        <v>5000</v>
      </c>
      <c r="D5" s="2">
        <v>0.18</v>
      </c>
      <c r="G5" t="s">
        <v>35</v>
      </c>
      <c r="J5" t="s">
        <v>45</v>
      </c>
      <c r="M5" t="s">
        <v>53</v>
      </c>
      <c r="N5" t="s">
        <v>63</v>
      </c>
    </row>
    <row r="6" spans="1:14" x14ac:dyDescent="0.3">
      <c r="A6" t="s">
        <v>13</v>
      </c>
      <c r="B6" t="s">
        <v>20</v>
      </c>
      <c r="C6">
        <v>12000</v>
      </c>
      <c r="D6" s="2">
        <v>0.15</v>
      </c>
      <c r="G6" t="s">
        <v>36</v>
      </c>
      <c r="J6" t="s">
        <v>46</v>
      </c>
      <c r="M6" t="s">
        <v>54</v>
      </c>
      <c r="N6" t="s">
        <v>64</v>
      </c>
    </row>
    <row r="7" spans="1:14" x14ac:dyDescent="0.3">
      <c r="A7" t="s">
        <v>14</v>
      </c>
      <c r="B7" t="s">
        <v>21</v>
      </c>
      <c r="C7">
        <v>1200</v>
      </c>
      <c r="D7" s="2">
        <v>0.1</v>
      </c>
      <c r="G7" t="s">
        <v>37</v>
      </c>
      <c r="J7" t="s">
        <v>47</v>
      </c>
      <c r="M7" t="s">
        <v>55</v>
      </c>
      <c r="N7" t="s">
        <v>65</v>
      </c>
    </row>
    <row r="8" spans="1:14" x14ac:dyDescent="0.3">
      <c r="A8" t="s">
        <v>14</v>
      </c>
      <c r="B8" t="s">
        <v>22</v>
      </c>
      <c r="C8">
        <v>60</v>
      </c>
      <c r="D8" s="2">
        <v>0.08</v>
      </c>
      <c r="G8" t="s">
        <v>38</v>
      </c>
      <c r="J8" t="s">
        <v>48</v>
      </c>
      <c r="M8" t="s">
        <v>56</v>
      </c>
      <c r="N8" t="s">
        <v>66</v>
      </c>
    </row>
    <row r="9" spans="1:14" x14ac:dyDescent="0.3">
      <c r="A9" t="s">
        <v>14</v>
      </c>
      <c r="B9" t="s">
        <v>23</v>
      </c>
      <c r="C9">
        <v>180</v>
      </c>
      <c r="D9" s="2">
        <v>0.12</v>
      </c>
      <c r="G9" t="s">
        <v>39</v>
      </c>
      <c r="J9" t="s">
        <v>49</v>
      </c>
      <c r="M9" t="s">
        <v>57</v>
      </c>
      <c r="N9" t="s">
        <v>67</v>
      </c>
    </row>
    <row r="10" spans="1:14" x14ac:dyDescent="0.3">
      <c r="A10" t="s">
        <v>14</v>
      </c>
      <c r="B10" t="s">
        <v>24</v>
      </c>
      <c r="C10">
        <v>55</v>
      </c>
      <c r="D10" s="2">
        <v>0.1</v>
      </c>
      <c r="G10" t="s">
        <v>40</v>
      </c>
      <c r="M10" t="s">
        <v>58</v>
      </c>
      <c r="N10" t="s">
        <v>68</v>
      </c>
    </row>
    <row r="11" spans="1:14" x14ac:dyDescent="0.3">
      <c r="A11" t="s">
        <v>14</v>
      </c>
      <c r="B11" t="s">
        <v>25</v>
      </c>
      <c r="C11">
        <v>350</v>
      </c>
      <c r="D11" s="2">
        <v>0.15</v>
      </c>
      <c r="G11" t="s">
        <v>41</v>
      </c>
      <c r="M11" t="s">
        <v>59</v>
      </c>
      <c r="N11" t="s">
        <v>69</v>
      </c>
    </row>
    <row r="12" spans="1:14" x14ac:dyDescent="0.3">
      <c r="A12" t="s">
        <v>15</v>
      </c>
      <c r="B12" t="s">
        <v>26</v>
      </c>
      <c r="C12">
        <v>799</v>
      </c>
      <c r="D12" s="2">
        <v>0.25</v>
      </c>
      <c r="M12" t="s">
        <v>172</v>
      </c>
      <c r="N12" t="s">
        <v>262</v>
      </c>
    </row>
    <row r="13" spans="1:14" x14ac:dyDescent="0.3">
      <c r="A13" t="s">
        <v>15</v>
      </c>
      <c r="B13" t="s">
        <v>27</v>
      </c>
      <c r="C13">
        <v>1999</v>
      </c>
      <c r="D13" s="2">
        <v>0.3</v>
      </c>
      <c r="M13" t="s">
        <v>173</v>
      </c>
      <c r="N13" t="s">
        <v>263</v>
      </c>
    </row>
    <row r="14" spans="1:14" x14ac:dyDescent="0.3">
      <c r="A14" t="s">
        <v>15</v>
      </c>
      <c r="B14" t="s">
        <v>28</v>
      </c>
      <c r="C14">
        <v>2999</v>
      </c>
      <c r="D14" s="2">
        <v>0.35</v>
      </c>
      <c r="M14" t="s">
        <v>174</v>
      </c>
      <c r="N14" t="s">
        <v>264</v>
      </c>
    </row>
    <row r="15" spans="1:14" x14ac:dyDescent="0.3">
      <c r="A15" t="s">
        <v>15</v>
      </c>
      <c r="B15" t="s">
        <v>29</v>
      </c>
      <c r="C15">
        <v>2499</v>
      </c>
      <c r="D15" s="2">
        <v>0.28000000000000003</v>
      </c>
      <c r="M15" t="s">
        <v>175</v>
      </c>
      <c r="N15" t="s">
        <v>265</v>
      </c>
    </row>
    <row r="16" spans="1:14" x14ac:dyDescent="0.3">
      <c r="A16" t="s">
        <v>15</v>
      </c>
      <c r="B16" t="s">
        <v>30</v>
      </c>
      <c r="C16">
        <v>1499</v>
      </c>
      <c r="D16" s="2">
        <v>0.3</v>
      </c>
      <c r="M16" t="s">
        <v>176</v>
      </c>
      <c r="N16" t="s">
        <v>266</v>
      </c>
    </row>
    <row r="17" spans="13:14" x14ac:dyDescent="0.3">
      <c r="M17" t="s">
        <v>177</v>
      </c>
      <c r="N17" t="s">
        <v>267</v>
      </c>
    </row>
    <row r="18" spans="13:14" x14ac:dyDescent="0.3">
      <c r="M18" t="s">
        <v>178</v>
      </c>
      <c r="N18" t="s">
        <v>268</v>
      </c>
    </row>
    <row r="19" spans="13:14" x14ac:dyDescent="0.3">
      <c r="M19" t="s">
        <v>179</v>
      </c>
      <c r="N19" t="s">
        <v>269</v>
      </c>
    </row>
    <row r="20" spans="13:14" x14ac:dyDescent="0.3">
      <c r="M20" t="s">
        <v>180</v>
      </c>
      <c r="N20" t="s">
        <v>270</v>
      </c>
    </row>
    <row r="21" spans="13:14" x14ac:dyDescent="0.3">
      <c r="M21" t="s">
        <v>181</v>
      </c>
      <c r="N21" t="s">
        <v>271</v>
      </c>
    </row>
    <row r="22" spans="13:14" x14ac:dyDescent="0.3">
      <c r="M22" t="s">
        <v>182</v>
      </c>
      <c r="N22" t="s">
        <v>272</v>
      </c>
    </row>
    <row r="23" spans="13:14" x14ac:dyDescent="0.3">
      <c r="M23" t="s">
        <v>183</v>
      </c>
      <c r="N23" t="s">
        <v>273</v>
      </c>
    </row>
    <row r="24" spans="13:14" x14ac:dyDescent="0.3">
      <c r="M24" t="s">
        <v>184</v>
      </c>
      <c r="N24" t="s">
        <v>274</v>
      </c>
    </row>
    <row r="25" spans="13:14" x14ac:dyDescent="0.3">
      <c r="M25" t="s">
        <v>185</v>
      </c>
      <c r="N25" t="s">
        <v>275</v>
      </c>
    </row>
    <row r="26" spans="13:14" x14ac:dyDescent="0.3">
      <c r="M26" t="s">
        <v>186</v>
      </c>
      <c r="N26" t="s">
        <v>276</v>
      </c>
    </row>
    <row r="27" spans="13:14" x14ac:dyDescent="0.3">
      <c r="M27" t="s">
        <v>187</v>
      </c>
      <c r="N27" t="s">
        <v>277</v>
      </c>
    </row>
    <row r="28" spans="13:14" x14ac:dyDescent="0.3">
      <c r="M28" t="s">
        <v>188</v>
      </c>
      <c r="N28" t="s">
        <v>280</v>
      </c>
    </row>
    <row r="29" spans="13:14" x14ac:dyDescent="0.3">
      <c r="M29" t="s">
        <v>189</v>
      </c>
      <c r="N29" t="s">
        <v>281</v>
      </c>
    </row>
    <row r="30" spans="13:14" x14ac:dyDescent="0.3">
      <c r="M30" t="s">
        <v>190</v>
      </c>
      <c r="N30" t="s">
        <v>279</v>
      </c>
    </row>
    <row r="31" spans="13:14" x14ac:dyDescent="0.3">
      <c r="M31" t="s">
        <v>191</v>
      </c>
      <c r="N31" t="s">
        <v>278</v>
      </c>
    </row>
    <row r="32" spans="13:14" x14ac:dyDescent="0.3">
      <c r="M32" t="s">
        <v>192</v>
      </c>
      <c r="N32" t="s">
        <v>282</v>
      </c>
    </row>
    <row r="33" spans="13:14" x14ac:dyDescent="0.3">
      <c r="M33" t="s">
        <v>193</v>
      </c>
      <c r="N33" t="s">
        <v>283</v>
      </c>
    </row>
    <row r="34" spans="13:14" x14ac:dyDescent="0.3">
      <c r="M34" t="s">
        <v>194</v>
      </c>
      <c r="N34" t="s">
        <v>284</v>
      </c>
    </row>
    <row r="35" spans="13:14" x14ac:dyDescent="0.3">
      <c r="M35" t="s">
        <v>195</v>
      </c>
      <c r="N35" t="s">
        <v>285</v>
      </c>
    </row>
    <row r="36" spans="13:14" x14ac:dyDescent="0.3">
      <c r="M36" t="s">
        <v>196</v>
      </c>
      <c r="N36" t="s">
        <v>286</v>
      </c>
    </row>
    <row r="37" spans="13:14" x14ac:dyDescent="0.3">
      <c r="M37" t="s">
        <v>197</v>
      </c>
      <c r="N37" t="s">
        <v>287</v>
      </c>
    </row>
    <row r="38" spans="13:14" x14ac:dyDescent="0.3">
      <c r="M38" t="s">
        <v>198</v>
      </c>
      <c r="N38" t="s">
        <v>288</v>
      </c>
    </row>
    <row r="39" spans="13:14" x14ac:dyDescent="0.3">
      <c r="M39" t="s">
        <v>199</v>
      </c>
      <c r="N39" t="s">
        <v>289</v>
      </c>
    </row>
    <row r="40" spans="13:14" x14ac:dyDescent="0.3">
      <c r="M40" t="s">
        <v>200</v>
      </c>
      <c r="N40" t="s">
        <v>290</v>
      </c>
    </row>
    <row r="41" spans="13:14" x14ac:dyDescent="0.3">
      <c r="M41" t="s">
        <v>201</v>
      </c>
      <c r="N41" t="s">
        <v>291</v>
      </c>
    </row>
    <row r="42" spans="13:14" x14ac:dyDescent="0.3">
      <c r="M42" t="s">
        <v>202</v>
      </c>
      <c r="N42" t="s">
        <v>292</v>
      </c>
    </row>
    <row r="43" spans="13:14" x14ac:dyDescent="0.3">
      <c r="M43" t="s">
        <v>203</v>
      </c>
      <c r="N43" t="s">
        <v>293</v>
      </c>
    </row>
    <row r="44" spans="13:14" x14ac:dyDescent="0.3">
      <c r="M44" t="s">
        <v>204</v>
      </c>
      <c r="N44" t="s">
        <v>294</v>
      </c>
    </row>
    <row r="45" spans="13:14" x14ac:dyDescent="0.3">
      <c r="M45" t="s">
        <v>205</v>
      </c>
      <c r="N45" t="s">
        <v>295</v>
      </c>
    </row>
    <row r="46" spans="13:14" x14ac:dyDescent="0.3">
      <c r="M46" t="s">
        <v>206</v>
      </c>
      <c r="N46" t="s">
        <v>296</v>
      </c>
    </row>
    <row r="47" spans="13:14" x14ac:dyDescent="0.3">
      <c r="M47" t="s">
        <v>207</v>
      </c>
      <c r="N47" t="s">
        <v>297</v>
      </c>
    </row>
    <row r="48" spans="13:14" x14ac:dyDescent="0.3">
      <c r="M48" t="s">
        <v>208</v>
      </c>
      <c r="N48" t="s">
        <v>298</v>
      </c>
    </row>
    <row r="49" spans="13:14" x14ac:dyDescent="0.3">
      <c r="M49" t="s">
        <v>209</v>
      </c>
      <c r="N49" t="s">
        <v>299</v>
      </c>
    </row>
    <row r="50" spans="13:14" x14ac:dyDescent="0.3">
      <c r="M50" t="s">
        <v>210</v>
      </c>
      <c r="N50" t="s">
        <v>300</v>
      </c>
    </row>
    <row r="51" spans="13:14" x14ac:dyDescent="0.3">
      <c r="M51" t="s">
        <v>211</v>
      </c>
      <c r="N51" t="s">
        <v>301</v>
      </c>
    </row>
    <row r="52" spans="13:14" x14ac:dyDescent="0.3">
      <c r="M52" t="s">
        <v>212</v>
      </c>
      <c r="N52" t="s">
        <v>302</v>
      </c>
    </row>
    <row r="53" spans="13:14" x14ac:dyDescent="0.3">
      <c r="M53" t="s">
        <v>213</v>
      </c>
      <c r="N53" t="s">
        <v>303</v>
      </c>
    </row>
    <row r="54" spans="13:14" x14ac:dyDescent="0.3">
      <c r="M54" t="s">
        <v>214</v>
      </c>
      <c r="N54" t="s">
        <v>304</v>
      </c>
    </row>
    <row r="55" spans="13:14" x14ac:dyDescent="0.3">
      <c r="M55" t="s">
        <v>215</v>
      </c>
      <c r="N55" t="s">
        <v>305</v>
      </c>
    </row>
    <row r="56" spans="13:14" x14ac:dyDescent="0.3">
      <c r="M56" t="s">
        <v>216</v>
      </c>
      <c r="N56" t="s">
        <v>306</v>
      </c>
    </row>
    <row r="57" spans="13:14" x14ac:dyDescent="0.3">
      <c r="M57" t="s">
        <v>217</v>
      </c>
      <c r="N57" t="s">
        <v>307</v>
      </c>
    </row>
    <row r="58" spans="13:14" x14ac:dyDescent="0.3">
      <c r="M58" t="s">
        <v>218</v>
      </c>
      <c r="N58" t="s">
        <v>308</v>
      </c>
    </row>
    <row r="59" spans="13:14" x14ac:dyDescent="0.3">
      <c r="M59" t="s">
        <v>219</v>
      </c>
      <c r="N59" t="s">
        <v>309</v>
      </c>
    </row>
    <row r="60" spans="13:14" x14ac:dyDescent="0.3">
      <c r="M60" t="s">
        <v>220</v>
      </c>
      <c r="N60" t="s">
        <v>310</v>
      </c>
    </row>
    <row r="61" spans="13:14" x14ac:dyDescent="0.3">
      <c r="M61" t="s">
        <v>221</v>
      </c>
      <c r="N61" t="s">
        <v>311</v>
      </c>
    </row>
    <row r="62" spans="13:14" x14ac:dyDescent="0.3">
      <c r="M62" t="s">
        <v>222</v>
      </c>
      <c r="N62" t="s">
        <v>312</v>
      </c>
    </row>
    <row r="63" spans="13:14" x14ac:dyDescent="0.3">
      <c r="M63" t="s">
        <v>223</v>
      </c>
      <c r="N63" t="s">
        <v>313</v>
      </c>
    </row>
    <row r="64" spans="13:14" x14ac:dyDescent="0.3">
      <c r="M64" t="s">
        <v>224</v>
      </c>
      <c r="N64" t="s">
        <v>314</v>
      </c>
    </row>
    <row r="65" spans="13:14" x14ac:dyDescent="0.3">
      <c r="M65" t="s">
        <v>225</v>
      </c>
      <c r="N65" t="s">
        <v>315</v>
      </c>
    </row>
    <row r="66" spans="13:14" x14ac:dyDescent="0.3">
      <c r="M66" t="s">
        <v>226</v>
      </c>
      <c r="N66" t="s">
        <v>316</v>
      </c>
    </row>
    <row r="67" spans="13:14" x14ac:dyDescent="0.3">
      <c r="M67" t="s">
        <v>227</v>
      </c>
      <c r="N67" t="s">
        <v>317</v>
      </c>
    </row>
    <row r="68" spans="13:14" x14ac:dyDescent="0.3">
      <c r="M68" t="s">
        <v>228</v>
      </c>
      <c r="N68" t="s">
        <v>318</v>
      </c>
    </row>
    <row r="69" spans="13:14" x14ac:dyDescent="0.3">
      <c r="M69" t="s">
        <v>229</v>
      </c>
      <c r="N69" t="s">
        <v>319</v>
      </c>
    </row>
    <row r="70" spans="13:14" x14ac:dyDescent="0.3">
      <c r="M70" t="s">
        <v>230</v>
      </c>
      <c r="N70" t="s">
        <v>320</v>
      </c>
    </row>
    <row r="71" spans="13:14" x14ac:dyDescent="0.3">
      <c r="M71" t="s">
        <v>231</v>
      </c>
      <c r="N71" t="s">
        <v>321</v>
      </c>
    </row>
    <row r="72" spans="13:14" x14ac:dyDescent="0.3">
      <c r="M72" t="s">
        <v>232</v>
      </c>
      <c r="N72" t="s">
        <v>322</v>
      </c>
    </row>
    <row r="73" spans="13:14" x14ac:dyDescent="0.3">
      <c r="M73" t="s">
        <v>233</v>
      </c>
      <c r="N73" t="s">
        <v>323</v>
      </c>
    </row>
    <row r="74" spans="13:14" x14ac:dyDescent="0.3">
      <c r="M74" t="s">
        <v>234</v>
      </c>
      <c r="N74" t="s">
        <v>324</v>
      </c>
    </row>
    <row r="75" spans="13:14" x14ac:dyDescent="0.3">
      <c r="M75" t="s">
        <v>235</v>
      </c>
      <c r="N75" t="s">
        <v>325</v>
      </c>
    </row>
    <row r="76" spans="13:14" x14ac:dyDescent="0.3">
      <c r="M76" t="s">
        <v>236</v>
      </c>
      <c r="N76" t="s">
        <v>326</v>
      </c>
    </row>
    <row r="77" spans="13:14" x14ac:dyDescent="0.3">
      <c r="M77" t="s">
        <v>237</v>
      </c>
      <c r="N77" t="s">
        <v>327</v>
      </c>
    </row>
    <row r="78" spans="13:14" x14ac:dyDescent="0.3">
      <c r="M78" t="s">
        <v>238</v>
      </c>
      <c r="N78" t="s">
        <v>328</v>
      </c>
    </row>
    <row r="79" spans="13:14" x14ac:dyDescent="0.3">
      <c r="M79" t="s">
        <v>239</v>
      </c>
      <c r="N79" t="s">
        <v>329</v>
      </c>
    </row>
    <row r="80" spans="13:14" x14ac:dyDescent="0.3">
      <c r="M80" t="s">
        <v>240</v>
      </c>
      <c r="N80" t="s">
        <v>330</v>
      </c>
    </row>
    <row r="81" spans="13:14" x14ac:dyDescent="0.3">
      <c r="M81" t="s">
        <v>241</v>
      </c>
      <c r="N81" t="s">
        <v>331</v>
      </c>
    </row>
    <row r="82" spans="13:14" x14ac:dyDescent="0.3">
      <c r="M82" t="s">
        <v>242</v>
      </c>
      <c r="N82" t="s">
        <v>332</v>
      </c>
    </row>
    <row r="83" spans="13:14" x14ac:dyDescent="0.3">
      <c r="M83" t="s">
        <v>243</v>
      </c>
      <c r="N83" t="s">
        <v>333</v>
      </c>
    </row>
    <row r="84" spans="13:14" x14ac:dyDescent="0.3">
      <c r="M84" t="s">
        <v>244</v>
      </c>
      <c r="N84" t="s">
        <v>334</v>
      </c>
    </row>
    <row r="85" spans="13:14" x14ac:dyDescent="0.3">
      <c r="M85" t="s">
        <v>245</v>
      </c>
      <c r="N85" t="s">
        <v>335</v>
      </c>
    </row>
    <row r="86" spans="13:14" x14ac:dyDescent="0.3">
      <c r="M86" t="s">
        <v>246</v>
      </c>
      <c r="N86" t="s">
        <v>336</v>
      </c>
    </row>
    <row r="87" spans="13:14" x14ac:dyDescent="0.3">
      <c r="M87" t="s">
        <v>247</v>
      </c>
      <c r="N87" t="s">
        <v>337</v>
      </c>
    </row>
    <row r="88" spans="13:14" x14ac:dyDescent="0.3">
      <c r="M88" t="s">
        <v>248</v>
      </c>
      <c r="N88" t="s">
        <v>338</v>
      </c>
    </row>
    <row r="89" spans="13:14" x14ac:dyDescent="0.3">
      <c r="M89" t="s">
        <v>249</v>
      </c>
      <c r="N89" t="s">
        <v>339</v>
      </c>
    </row>
    <row r="90" spans="13:14" x14ac:dyDescent="0.3">
      <c r="M90" t="s">
        <v>250</v>
      </c>
      <c r="N90" t="s">
        <v>340</v>
      </c>
    </row>
    <row r="91" spans="13:14" x14ac:dyDescent="0.3">
      <c r="M91" t="s">
        <v>251</v>
      </c>
      <c r="N91" t="s">
        <v>341</v>
      </c>
    </row>
    <row r="92" spans="13:14" x14ac:dyDescent="0.3">
      <c r="M92" t="s">
        <v>252</v>
      </c>
      <c r="N92" t="s">
        <v>342</v>
      </c>
    </row>
    <row r="93" spans="13:14" x14ac:dyDescent="0.3">
      <c r="M93" t="s">
        <v>253</v>
      </c>
      <c r="N93" t="s">
        <v>343</v>
      </c>
    </row>
    <row r="94" spans="13:14" x14ac:dyDescent="0.3">
      <c r="M94" t="s">
        <v>254</v>
      </c>
      <c r="N94" t="s">
        <v>344</v>
      </c>
    </row>
    <row r="95" spans="13:14" x14ac:dyDescent="0.3">
      <c r="M95" t="s">
        <v>255</v>
      </c>
      <c r="N95" t="s">
        <v>345</v>
      </c>
    </row>
    <row r="96" spans="13:14" x14ac:dyDescent="0.3">
      <c r="M96" t="s">
        <v>256</v>
      </c>
      <c r="N96" t="s">
        <v>346</v>
      </c>
    </row>
    <row r="97" spans="13:14" x14ac:dyDescent="0.3">
      <c r="M97" t="s">
        <v>257</v>
      </c>
      <c r="N97" t="s">
        <v>347</v>
      </c>
    </row>
    <row r="98" spans="13:14" x14ac:dyDescent="0.3">
      <c r="M98" t="s">
        <v>258</v>
      </c>
      <c r="N98" t="s">
        <v>348</v>
      </c>
    </row>
    <row r="99" spans="13:14" x14ac:dyDescent="0.3">
      <c r="M99" t="s">
        <v>259</v>
      </c>
      <c r="N99" t="s">
        <v>349</v>
      </c>
    </row>
    <row r="100" spans="13:14" x14ac:dyDescent="0.3">
      <c r="M100" t="s">
        <v>260</v>
      </c>
      <c r="N100" t="s">
        <v>350</v>
      </c>
    </row>
    <row r="101" spans="13:14" x14ac:dyDescent="0.3">
      <c r="M101" t="s">
        <v>261</v>
      </c>
      <c r="N101" t="s">
        <v>351</v>
      </c>
    </row>
  </sheetData>
  <phoneticPr fontId="1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3BEA-0D0C-4431-B104-46A805E0D05B}">
  <dimension ref="A1:B12"/>
  <sheetViews>
    <sheetView workbookViewId="0">
      <selection activeCell="D5" sqref="D5"/>
    </sheetView>
  </sheetViews>
  <sheetFormatPr defaultRowHeight="14.4" x14ac:dyDescent="0.3"/>
  <cols>
    <col min="1" max="1" width="10.77734375" bestFit="1" customWidth="1"/>
    <col min="2" max="2" width="13.33203125" bestFit="1" customWidth="1"/>
  </cols>
  <sheetData>
    <row r="1" spans="1:2" x14ac:dyDescent="0.3">
      <c r="A1" s="12" t="s">
        <v>10</v>
      </c>
      <c r="B1" s="4" t="s">
        <v>352</v>
      </c>
    </row>
    <row r="2" spans="1:2" x14ac:dyDescent="0.3">
      <c r="A2" s="5" t="s">
        <v>27</v>
      </c>
      <c r="B2" s="6">
        <v>20</v>
      </c>
    </row>
    <row r="3" spans="1:2" x14ac:dyDescent="0.3">
      <c r="A3" s="7" t="s">
        <v>16</v>
      </c>
      <c r="B3" s="8">
        <v>10</v>
      </c>
    </row>
    <row r="4" spans="1:2" x14ac:dyDescent="0.3">
      <c r="A4" s="7" t="s">
        <v>20</v>
      </c>
      <c r="B4" s="8">
        <v>10</v>
      </c>
    </row>
    <row r="5" spans="1:2" x14ac:dyDescent="0.3">
      <c r="A5" s="7" t="s">
        <v>21</v>
      </c>
      <c r="B5" s="8">
        <v>30</v>
      </c>
    </row>
    <row r="6" spans="1:2" x14ac:dyDescent="0.3">
      <c r="A6" s="7" t="s">
        <v>29</v>
      </c>
      <c r="B6" s="8">
        <v>20</v>
      </c>
    </row>
    <row r="7" spans="1:2" x14ac:dyDescent="0.3">
      <c r="A7" s="7" t="s">
        <v>17</v>
      </c>
      <c r="B7" s="8">
        <v>10</v>
      </c>
    </row>
    <row r="8" spans="1:2" x14ac:dyDescent="0.3">
      <c r="A8" s="7" t="s">
        <v>19</v>
      </c>
      <c r="B8" s="8">
        <v>30</v>
      </c>
    </row>
    <row r="9" spans="1:2" x14ac:dyDescent="0.3">
      <c r="A9" s="7" t="s">
        <v>22</v>
      </c>
      <c r="B9" s="8">
        <v>50</v>
      </c>
    </row>
    <row r="10" spans="1:2" x14ac:dyDescent="0.3">
      <c r="A10" s="7" t="s">
        <v>26</v>
      </c>
      <c r="B10" s="8">
        <v>20</v>
      </c>
    </row>
    <row r="11" spans="1:2" x14ac:dyDescent="0.3">
      <c r="A11" s="7" t="s">
        <v>25</v>
      </c>
      <c r="B11" s="9">
        <v>40</v>
      </c>
    </row>
    <row r="12" spans="1:2" ht="15" thickBot="1" x14ac:dyDescent="0.35">
      <c r="A12" s="10" t="s">
        <v>353</v>
      </c>
      <c r="B12" s="11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46DE1-598D-4921-82F2-82785DD65070}">
  <dimension ref="A1:B10"/>
  <sheetViews>
    <sheetView workbookViewId="0">
      <selection activeCell="C4" sqref="C4"/>
    </sheetView>
  </sheetViews>
  <sheetFormatPr defaultRowHeight="14.4" x14ac:dyDescent="0.3"/>
  <cols>
    <col min="1" max="1" width="13.44140625" bestFit="1" customWidth="1"/>
    <col min="2" max="2" width="10.6640625" bestFit="1" customWidth="1"/>
  </cols>
  <sheetData>
    <row r="1" spans="1:2" x14ac:dyDescent="0.3">
      <c r="A1" s="12" t="s">
        <v>7</v>
      </c>
      <c r="B1" s="4" t="s">
        <v>354</v>
      </c>
    </row>
    <row r="2" spans="1:2" x14ac:dyDescent="0.3">
      <c r="A2" s="5" t="s">
        <v>49</v>
      </c>
      <c r="B2" s="6">
        <v>13300</v>
      </c>
    </row>
    <row r="3" spans="1:2" x14ac:dyDescent="0.3">
      <c r="A3" s="7" t="s">
        <v>44</v>
      </c>
      <c r="B3" s="8">
        <v>13583</v>
      </c>
    </row>
    <row r="4" spans="1:2" x14ac:dyDescent="0.3">
      <c r="A4" s="7" t="s">
        <v>46</v>
      </c>
      <c r="B4" s="8">
        <v>3000</v>
      </c>
    </row>
    <row r="5" spans="1:2" x14ac:dyDescent="0.3">
      <c r="A5" s="7" t="s">
        <v>47</v>
      </c>
      <c r="B5" s="8">
        <v>35982</v>
      </c>
    </row>
    <row r="6" spans="1:2" x14ac:dyDescent="0.3">
      <c r="A6" s="7" t="s">
        <v>43</v>
      </c>
      <c r="B6" s="8">
        <v>169200</v>
      </c>
    </row>
    <row r="7" spans="1:2" x14ac:dyDescent="0.3">
      <c r="A7" s="7" t="s">
        <v>42</v>
      </c>
      <c r="B7" s="8">
        <v>624984</v>
      </c>
    </row>
    <row r="8" spans="1:2" x14ac:dyDescent="0.3">
      <c r="A8" s="7" t="s">
        <v>48</v>
      </c>
      <c r="B8" s="8">
        <v>105600</v>
      </c>
    </row>
    <row r="9" spans="1:2" x14ac:dyDescent="0.3">
      <c r="A9" s="7" t="s">
        <v>45</v>
      </c>
      <c r="B9" s="9">
        <v>230000</v>
      </c>
    </row>
    <row r="10" spans="1:2" ht="15" thickBot="1" x14ac:dyDescent="0.35">
      <c r="A10" s="10" t="s">
        <v>353</v>
      </c>
      <c r="B10" s="11">
        <v>1195649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2284-D41B-417F-BE24-B387741842AF}">
  <dimension ref="A1:B11"/>
  <sheetViews>
    <sheetView workbookViewId="0">
      <selection activeCell="B11" sqref="B11:C11"/>
    </sheetView>
  </sheetViews>
  <sheetFormatPr defaultRowHeight="14.4" x14ac:dyDescent="0.3"/>
  <cols>
    <col min="1" max="1" width="13.88671875" bestFit="1" customWidth="1"/>
    <col min="2" max="2" width="10.6640625" bestFit="1" customWidth="1"/>
  </cols>
  <sheetData>
    <row r="1" spans="1:2" x14ac:dyDescent="0.3">
      <c r="A1" s="12" t="s">
        <v>3</v>
      </c>
      <c r="B1" s="4" t="s">
        <v>355</v>
      </c>
    </row>
    <row r="2" spans="1:2" x14ac:dyDescent="0.3">
      <c r="A2" s="5" t="s">
        <v>35</v>
      </c>
      <c r="B2" s="6">
        <v>24300</v>
      </c>
    </row>
    <row r="3" spans="1:2" x14ac:dyDescent="0.3">
      <c r="A3" s="7" t="s">
        <v>38</v>
      </c>
      <c r="B3" s="8">
        <v>15840</v>
      </c>
    </row>
    <row r="4" spans="1:2" x14ac:dyDescent="0.3">
      <c r="A4" s="7" t="s">
        <v>39</v>
      </c>
      <c r="B4" s="8">
        <v>1995</v>
      </c>
    </row>
    <row r="5" spans="1:2" x14ac:dyDescent="0.3">
      <c r="A5" s="7" t="s">
        <v>32</v>
      </c>
      <c r="B5" s="8">
        <v>116094.6</v>
      </c>
    </row>
    <row r="6" spans="1:2" x14ac:dyDescent="0.3">
      <c r="A6" s="7" t="s">
        <v>34</v>
      </c>
      <c r="B6" s="8">
        <v>3395.75</v>
      </c>
    </row>
    <row r="7" spans="1:2" x14ac:dyDescent="0.3">
      <c r="A7" s="7" t="s">
        <v>37</v>
      </c>
      <c r="B7" s="8">
        <v>240</v>
      </c>
    </row>
    <row r="8" spans="1:2" x14ac:dyDescent="0.3">
      <c r="A8" s="7" t="s">
        <v>40</v>
      </c>
      <c r="B8" s="8">
        <v>11195.52</v>
      </c>
    </row>
    <row r="9" spans="1:2" x14ac:dyDescent="0.3">
      <c r="A9" s="7" t="s">
        <v>81</v>
      </c>
      <c r="B9" s="8">
        <v>3420</v>
      </c>
    </row>
    <row r="10" spans="1:2" x14ac:dyDescent="0.3">
      <c r="A10" s="7" t="s">
        <v>36</v>
      </c>
      <c r="B10" s="9">
        <v>34500</v>
      </c>
    </row>
    <row r="11" spans="1:2" ht="15" thickBot="1" x14ac:dyDescent="0.35">
      <c r="A11" s="10" t="s">
        <v>353</v>
      </c>
      <c r="B11" s="11">
        <v>210980.87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154D5-477B-44E2-A77C-94D20F6BF76F}">
  <dimension ref="A1:B5"/>
  <sheetViews>
    <sheetView workbookViewId="0">
      <selection activeCell="C6" sqref="C6"/>
    </sheetView>
  </sheetViews>
  <sheetFormatPr defaultRowHeight="14.4" x14ac:dyDescent="0.3"/>
  <cols>
    <col min="1" max="2" width="10.6640625" bestFit="1" customWidth="1"/>
  </cols>
  <sheetData>
    <row r="1" spans="1:2" x14ac:dyDescent="0.3">
      <c r="A1" s="12" t="s">
        <v>9</v>
      </c>
      <c r="B1" s="4" t="s">
        <v>354</v>
      </c>
    </row>
    <row r="2" spans="1:2" x14ac:dyDescent="0.3">
      <c r="A2" s="5" t="s">
        <v>15</v>
      </c>
      <c r="B2" s="6">
        <v>89549</v>
      </c>
    </row>
    <row r="3" spans="1:2" x14ac:dyDescent="0.3">
      <c r="A3" s="7" t="s">
        <v>13</v>
      </c>
      <c r="B3" s="8">
        <v>1055600</v>
      </c>
    </row>
    <row r="4" spans="1:2" x14ac:dyDescent="0.3">
      <c r="A4" s="7" t="s">
        <v>14</v>
      </c>
      <c r="B4" s="9">
        <v>50500</v>
      </c>
    </row>
    <row r="5" spans="1:2" ht="15" thickBot="1" x14ac:dyDescent="0.35">
      <c r="A5" s="10" t="s">
        <v>353</v>
      </c>
      <c r="B5" s="11">
        <v>1195649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D978-649E-4A5B-8632-8FF61EC6BAE1}">
  <dimension ref="A1"/>
  <sheetViews>
    <sheetView tabSelected="1" topLeftCell="A2" workbookViewId="0">
      <selection activeCell="D12" sqref="D1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2916A-C4A8-4C99-94C8-2401DEC468A2}">
  <dimension ref="A1"/>
  <sheetViews>
    <sheetView topLeftCell="G1" workbookViewId="0">
      <selection activeCell="I12" sqref="I1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DBD1-C6F0-4787-8AE3-B26D435376B7}">
  <dimension ref="A1"/>
  <sheetViews>
    <sheetView workbookViewId="0">
      <selection activeCell="B16" sqref="B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73FA7-EC86-4747-A939-434F02A4149C}">
  <dimension ref="A1"/>
  <sheetViews>
    <sheetView workbookViewId="0">
      <selection activeCell="P16" sqref="P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39F4-6468-43A5-8D23-AA865F75BD35}">
  <dimension ref="B2:Z60"/>
  <sheetViews>
    <sheetView topLeftCell="E3" zoomScale="52" workbookViewId="0">
      <selection activeCell="Z25" sqref="Z25"/>
    </sheetView>
  </sheetViews>
  <sheetFormatPr defaultRowHeight="14.4" x14ac:dyDescent="0.3"/>
  <cols>
    <col min="21" max="21" width="10.6640625" bestFit="1" customWidth="1"/>
    <col min="22" max="22" width="17.88671875" bestFit="1" customWidth="1"/>
    <col min="24" max="24" width="18.21875" bestFit="1" customWidth="1"/>
    <col min="26" max="26" width="23.21875" bestFit="1" customWidth="1"/>
  </cols>
  <sheetData>
    <row r="2" spans="7:26" ht="63" x14ac:dyDescent="1.2">
      <c r="G2" s="13" t="s">
        <v>356</v>
      </c>
      <c r="H2" s="13"/>
      <c r="I2" s="13"/>
      <c r="J2" s="14"/>
      <c r="K2" s="14"/>
      <c r="L2" s="14"/>
      <c r="M2" s="14"/>
      <c r="N2" s="14"/>
      <c r="O2" s="14"/>
      <c r="P2" s="14"/>
    </row>
    <row r="3" spans="7:26" ht="25.8" x14ac:dyDescent="0.5">
      <c r="T3" s="16"/>
      <c r="U3" s="16"/>
      <c r="V3" s="16" t="s">
        <v>358</v>
      </c>
      <c r="X3" s="16" t="s">
        <v>359</v>
      </c>
      <c r="Z3" s="16" t="s">
        <v>357</v>
      </c>
    </row>
    <row r="4" spans="7:26" ht="27" customHeight="1" x14ac:dyDescent="0.3">
      <c r="V4">
        <v>1195649</v>
      </c>
      <c r="X4">
        <v>210980.87</v>
      </c>
      <c r="Z4">
        <v>240</v>
      </c>
    </row>
    <row r="6" spans="7:26" ht="18.600000000000001" customHeight="1" x14ac:dyDescent="0.5">
      <c r="V6" s="16"/>
    </row>
    <row r="7" spans="7:26" ht="18.600000000000001" customHeight="1" x14ac:dyDescent="0.5">
      <c r="T7" s="15"/>
      <c r="U7" s="15"/>
      <c r="V7" s="15"/>
    </row>
    <row r="8" spans="7:26" ht="14.4" customHeight="1" x14ac:dyDescent="0.5">
      <c r="V8" s="16"/>
    </row>
    <row r="9" spans="7:26" ht="21.6" customHeight="1" x14ac:dyDescent="0.5">
      <c r="V9" s="16"/>
    </row>
    <row r="11" spans="7:26" ht="25.8" customHeight="1" x14ac:dyDescent="0.5">
      <c r="T11" s="16"/>
      <c r="U11" s="16"/>
      <c r="V11" s="16"/>
    </row>
    <row r="12" spans="7:26" ht="14.4" customHeight="1" x14ac:dyDescent="0.5">
      <c r="T12" s="16"/>
      <c r="U12" s="16"/>
      <c r="V12" s="16"/>
    </row>
    <row r="48" spans="2:2" ht="21" x14ac:dyDescent="0.4">
      <c r="B48" s="17"/>
    </row>
    <row r="50" spans="2:3" ht="21" x14ac:dyDescent="0.4">
      <c r="B50" s="17"/>
    </row>
    <row r="52" spans="2:3" ht="21" x14ac:dyDescent="0.4">
      <c r="B52" s="17"/>
    </row>
    <row r="54" spans="2:3" ht="21" x14ac:dyDescent="0.4">
      <c r="B54" s="17"/>
      <c r="C54" s="17" t="s">
        <v>362</v>
      </c>
    </row>
    <row r="56" spans="2:3" ht="21" x14ac:dyDescent="0.4">
      <c r="C56" s="17" t="s">
        <v>360</v>
      </c>
    </row>
    <row r="58" spans="2:3" ht="21" x14ac:dyDescent="0.4">
      <c r="C58" s="17" t="s">
        <v>361</v>
      </c>
    </row>
    <row r="60" spans="2:3" ht="21" x14ac:dyDescent="0.4">
      <c r="C60" s="17" t="s">
        <v>363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Sales_Data</vt:lpstr>
      <vt:lpstr>Lookup</vt:lpstr>
      <vt:lpstr>Pivot_Quantity_Product</vt:lpstr>
      <vt:lpstr>Pivot_Sales_Salesperson</vt:lpstr>
      <vt:lpstr>Pivot_profit_state</vt:lpstr>
      <vt:lpstr>Pivot_Sales_Category</vt:lpstr>
      <vt:lpstr> Product Quantity </vt:lpstr>
      <vt:lpstr>Sales by Salesperson</vt:lpstr>
      <vt:lpstr>Profit by State</vt:lpstr>
      <vt:lpstr>Sales by Category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JEEVITHA JAANU</dc:creator>
  <cp:lastModifiedBy>JEEVITHA JAANU</cp:lastModifiedBy>
  <dcterms:created xsi:type="dcterms:W3CDTF">2026-07-16T04:16:50Z</dcterms:created>
  <dcterms:modified xsi:type="dcterms:W3CDTF">2026-07-19T04:39:40Z</dcterms:modified>
</cp:coreProperties>
</file>